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mc:AlternateContent xmlns:mc="http://schemas.openxmlformats.org/markup-compatibility/2006">
    <mc:Choice Requires="x15">
      <x15ac:absPath xmlns:x15ac="http://schemas.microsoft.com/office/spreadsheetml/2010/11/ac" url="/Users/nsacomputer/Ahmed/projects/oracle/"/>
    </mc:Choice>
  </mc:AlternateContent>
  <xr:revisionPtr revIDLastSave="0" documentId="13_ncr:1_{FA10F9C5-53C3-7A49-B180-13CB0A2D35E8}" xr6:coauthVersionLast="47" xr6:coauthVersionMax="47" xr10:uidLastSave="{00000000-0000-0000-0000-000000000000}"/>
  <bookViews>
    <workbookView xWindow="0" yWindow="500" windowWidth="33600" windowHeight="18800" xr2:uid="{00000000-000D-0000-FFFF-FFFF00000000}"/>
  </bookViews>
  <sheets>
    <sheet name="Dashboard" sheetId="1" r:id="rId1"/>
    <sheet name="Weekly Tracker" sheetId="2" r:id="rId2"/>
    <sheet name="Topic Checklist" sheetId="3" r:id="rId3"/>
    <sheet name="Practice Log" sheetId="4" r:id="rId4"/>
    <sheet name="Milestones" sheetId="5" r:id="rId5"/>
    <sheet name="Capstone" sheetId="6" r:id="rId6"/>
    <sheet name="Setup"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24" i="6" l="1"/>
  <c r="F23" i="6"/>
  <c r="F22" i="6"/>
  <c r="F21" i="6"/>
  <c r="F20" i="6"/>
  <c r="F19" i="6"/>
  <c r="F18" i="6"/>
  <c r="F17" i="6"/>
  <c r="F16" i="6"/>
  <c r="F15" i="6"/>
  <c r="F14" i="6"/>
  <c r="F13" i="6"/>
  <c r="F12" i="6"/>
  <c r="F11" i="6"/>
  <c r="F10" i="6"/>
  <c r="F9" i="6"/>
  <c r="F8" i="6"/>
  <c r="F7" i="6"/>
  <c r="F6" i="6"/>
  <c r="F5" i="6"/>
  <c r="F12" i="5"/>
  <c r="F11" i="5"/>
  <c r="F10" i="5"/>
  <c r="F9" i="5"/>
  <c r="F8" i="5"/>
  <c r="F7" i="5"/>
  <c r="F6" i="5"/>
  <c r="F5" i="5"/>
  <c r="G204" i="4"/>
  <c r="B204" i="4"/>
  <c r="G203" i="4"/>
  <c r="B203" i="4"/>
  <c r="G202" i="4"/>
  <c r="B202" i="4"/>
  <c r="G201" i="4"/>
  <c r="B201" i="4"/>
  <c r="G200" i="4"/>
  <c r="B200" i="4"/>
  <c r="G199" i="4"/>
  <c r="B199" i="4"/>
  <c r="G198" i="4"/>
  <c r="B198" i="4"/>
  <c r="G197" i="4"/>
  <c r="B197" i="4"/>
  <c r="G196" i="4"/>
  <c r="B196" i="4"/>
  <c r="G195" i="4"/>
  <c r="B195" i="4"/>
  <c r="G194" i="4"/>
  <c r="B194" i="4"/>
  <c r="G193" i="4"/>
  <c r="B193" i="4"/>
  <c r="G192" i="4"/>
  <c r="B192" i="4"/>
  <c r="G191" i="4"/>
  <c r="B191" i="4"/>
  <c r="G190" i="4"/>
  <c r="B190" i="4"/>
  <c r="G189" i="4"/>
  <c r="B189" i="4"/>
  <c r="G188" i="4"/>
  <c r="B188" i="4"/>
  <c r="G187" i="4"/>
  <c r="B187" i="4"/>
  <c r="G186" i="4"/>
  <c r="B186" i="4"/>
  <c r="G185" i="4"/>
  <c r="B185" i="4"/>
  <c r="G184" i="4"/>
  <c r="B184" i="4"/>
  <c r="G183" i="4"/>
  <c r="B183" i="4"/>
  <c r="G182" i="4"/>
  <c r="B182" i="4"/>
  <c r="G181" i="4"/>
  <c r="B181" i="4"/>
  <c r="G180" i="4"/>
  <c r="B180" i="4"/>
  <c r="G179" i="4"/>
  <c r="B179" i="4"/>
  <c r="G178" i="4"/>
  <c r="B178" i="4"/>
  <c r="G177" i="4"/>
  <c r="B177" i="4"/>
  <c r="G176" i="4"/>
  <c r="B176" i="4"/>
  <c r="G175" i="4"/>
  <c r="B175" i="4"/>
  <c r="G174" i="4"/>
  <c r="B174" i="4"/>
  <c r="G173" i="4"/>
  <c r="B173" i="4"/>
  <c r="G172" i="4"/>
  <c r="B172" i="4"/>
  <c r="G171" i="4"/>
  <c r="B171" i="4"/>
  <c r="G170" i="4"/>
  <c r="B170" i="4"/>
  <c r="G169" i="4"/>
  <c r="B169" i="4"/>
  <c r="G168" i="4"/>
  <c r="B168" i="4"/>
  <c r="G167" i="4"/>
  <c r="B167" i="4"/>
  <c r="G166" i="4"/>
  <c r="B166" i="4"/>
  <c r="G165" i="4"/>
  <c r="B165" i="4"/>
  <c r="G164" i="4"/>
  <c r="B164" i="4"/>
  <c r="G163" i="4"/>
  <c r="B163" i="4"/>
  <c r="G162" i="4"/>
  <c r="B162" i="4"/>
  <c r="G161" i="4"/>
  <c r="B161" i="4"/>
  <c r="G160" i="4"/>
  <c r="B160" i="4"/>
  <c r="G159" i="4"/>
  <c r="B159" i="4"/>
  <c r="G158" i="4"/>
  <c r="B158" i="4"/>
  <c r="G157" i="4"/>
  <c r="B157" i="4"/>
  <c r="G156" i="4"/>
  <c r="B156" i="4"/>
  <c r="G155" i="4"/>
  <c r="B155" i="4"/>
  <c r="G154" i="4"/>
  <c r="B154" i="4"/>
  <c r="G153" i="4"/>
  <c r="B153" i="4"/>
  <c r="G152" i="4"/>
  <c r="B152" i="4"/>
  <c r="G151" i="4"/>
  <c r="B151" i="4"/>
  <c r="G150" i="4"/>
  <c r="B150" i="4"/>
  <c r="G149" i="4"/>
  <c r="B149" i="4"/>
  <c r="G148" i="4"/>
  <c r="B148" i="4"/>
  <c r="G147" i="4"/>
  <c r="B147" i="4"/>
  <c r="G146" i="4"/>
  <c r="B146" i="4"/>
  <c r="G145" i="4"/>
  <c r="B145" i="4"/>
  <c r="G144" i="4"/>
  <c r="B144" i="4"/>
  <c r="G143" i="4"/>
  <c r="B143" i="4"/>
  <c r="G142" i="4"/>
  <c r="B142" i="4"/>
  <c r="G141" i="4"/>
  <c r="B141" i="4"/>
  <c r="G140" i="4"/>
  <c r="B140" i="4"/>
  <c r="G139" i="4"/>
  <c r="B139" i="4"/>
  <c r="G138" i="4"/>
  <c r="B138" i="4"/>
  <c r="G137" i="4"/>
  <c r="B137" i="4"/>
  <c r="G136" i="4"/>
  <c r="B136" i="4"/>
  <c r="G135" i="4"/>
  <c r="B135" i="4"/>
  <c r="G134" i="4"/>
  <c r="B134" i="4"/>
  <c r="G133" i="4"/>
  <c r="B133" i="4"/>
  <c r="G132" i="4"/>
  <c r="B132" i="4"/>
  <c r="G131" i="4"/>
  <c r="B131" i="4"/>
  <c r="G130" i="4"/>
  <c r="B130" i="4"/>
  <c r="G129" i="4"/>
  <c r="B129" i="4"/>
  <c r="G128" i="4"/>
  <c r="B128" i="4"/>
  <c r="G127" i="4"/>
  <c r="B127" i="4"/>
  <c r="G126" i="4"/>
  <c r="B126" i="4"/>
  <c r="G125" i="4"/>
  <c r="B125" i="4"/>
  <c r="G124" i="4"/>
  <c r="B124" i="4"/>
  <c r="G123" i="4"/>
  <c r="B123" i="4"/>
  <c r="G122" i="4"/>
  <c r="B122" i="4"/>
  <c r="G121" i="4"/>
  <c r="B121" i="4"/>
  <c r="G120" i="4"/>
  <c r="B120" i="4"/>
  <c r="G119" i="4"/>
  <c r="B119" i="4"/>
  <c r="G118" i="4"/>
  <c r="B118" i="4"/>
  <c r="G117" i="4"/>
  <c r="B117" i="4"/>
  <c r="G116" i="4"/>
  <c r="B116" i="4"/>
  <c r="G115" i="4"/>
  <c r="B115" i="4"/>
  <c r="G114" i="4"/>
  <c r="B114" i="4"/>
  <c r="G113" i="4"/>
  <c r="B113" i="4"/>
  <c r="G112" i="4"/>
  <c r="B112" i="4"/>
  <c r="G111" i="4"/>
  <c r="B111" i="4"/>
  <c r="G110" i="4"/>
  <c r="B110" i="4"/>
  <c r="G109" i="4"/>
  <c r="B109" i="4"/>
  <c r="G108" i="4"/>
  <c r="B108" i="4"/>
  <c r="G107" i="4"/>
  <c r="B107" i="4"/>
  <c r="G106" i="4"/>
  <c r="B106" i="4"/>
  <c r="G105" i="4"/>
  <c r="B105" i="4"/>
  <c r="G104" i="4"/>
  <c r="B104" i="4"/>
  <c r="G103" i="4"/>
  <c r="B103" i="4"/>
  <c r="G102" i="4"/>
  <c r="B102" i="4"/>
  <c r="G101" i="4"/>
  <c r="B101" i="4"/>
  <c r="G100" i="4"/>
  <c r="B100" i="4"/>
  <c r="G99" i="4"/>
  <c r="B99" i="4"/>
  <c r="G98" i="4"/>
  <c r="B98" i="4"/>
  <c r="G97" i="4"/>
  <c r="B97" i="4"/>
  <c r="G96" i="4"/>
  <c r="B96" i="4"/>
  <c r="G95" i="4"/>
  <c r="B95" i="4"/>
  <c r="G94" i="4"/>
  <c r="B94" i="4"/>
  <c r="G93" i="4"/>
  <c r="B93" i="4"/>
  <c r="G92" i="4"/>
  <c r="B92" i="4"/>
  <c r="G91" i="4"/>
  <c r="B91" i="4"/>
  <c r="G90" i="4"/>
  <c r="B90" i="4"/>
  <c r="G89" i="4"/>
  <c r="B89" i="4"/>
  <c r="G88" i="4"/>
  <c r="B88" i="4"/>
  <c r="G87" i="4"/>
  <c r="B87" i="4"/>
  <c r="G86" i="4"/>
  <c r="B86" i="4"/>
  <c r="G85" i="4"/>
  <c r="B85" i="4"/>
  <c r="G84" i="4"/>
  <c r="B84" i="4"/>
  <c r="G83" i="4"/>
  <c r="B83" i="4"/>
  <c r="G82" i="4"/>
  <c r="B82" i="4"/>
  <c r="G81" i="4"/>
  <c r="B81" i="4"/>
  <c r="G80" i="4"/>
  <c r="B80" i="4"/>
  <c r="G79" i="4"/>
  <c r="B79" i="4"/>
  <c r="G78" i="4"/>
  <c r="B78" i="4"/>
  <c r="G77" i="4"/>
  <c r="B77" i="4"/>
  <c r="G76" i="4"/>
  <c r="B76" i="4"/>
  <c r="G75" i="4"/>
  <c r="B75" i="4"/>
  <c r="G74" i="4"/>
  <c r="B74" i="4"/>
  <c r="G73" i="4"/>
  <c r="B73" i="4"/>
  <c r="G72" i="4"/>
  <c r="B72" i="4"/>
  <c r="G71" i="4"/>
  <c r="B71" i="4"/>
  <c r="G70" i="4"/>
  <c r="B70" i="4"/>
  <c r="G69" i="4"/>
  <c r="B69" i="4"/>
  <c r="G68" i="4"/>
  <c r="B68" i="4"/>
  <c r="G67" i="4"/>
  <c r="B67" i="4"/>
  <c r="G66" i="4"/>
  <c r="B66" i="4"/>
  <c r="G65" i="4"/>
  <c r="B65" i="4"/>
  <c r="G64" i="4"/>
  <c r="B64" i="4"/>
  <c r="G63" i="4"/>
  <c r="B63" i="4"/>
  <c r="G62" i="4"/>
  <c r="B62" i="4"/>
  <c r="G61" i="4"/>
  <c r="B61" i="4"/>
  <c r="G60" i="4"/>
  <c r="B60" i="4"/>
  <c r="G59" i="4"/>
  <c r="B59" i="4"/>
  <c r="G58" i="4"/>
  <c r="B58" i="4"/>
  <c r="G57" i="4"/>
  <c r="B57" i="4"/>
  <c r="G56" i="4"/>
  <c r="B56" i="4"/>
  <c r="G55" i="4"/>
  <c r="B55" i="4"/>
  <c r="G54" i="4"/>
  <c r="B54" i="4"/>
  <c r="G53" i="4"/>
  <c r="B53" i="4"/>
  <c r="G52" i="4"/>
  <c r="B52" i="4"/>
  <c r="G51" i="4"/>
  <c r="B51" i="4"/>
  <c r="G50" i="4"/>
  <c r="B50" i="4"/>
  <c r="G49" i="4"/>
  <c r="B49" i="4"/>
  <c r="G48" i="4"/>
  <c r="B48" i="4"/>
  <c r="G47" i="4"/>
  <c r="B47" i="4"/>
  <c r="G46" i="4"/>
  <c r="B46" i="4"/>
  <c r="G45" i="4"/>
  <c r="B45" i="4"/>
  <c r="G44" i="4"/>
  <c r="B44" i="4"/>
  <c r="G43" i="4"/>
  <c r="B43" i="4"/>
  <c r="G42" i="4"/>
  <c r="B42" i="4"/>
  <c r="G41" i="4"/>
  <c r="B41" i="4"/>
  <c r="G40" i="4"/>
  <c r="B40" i="4"/>
  <c r="G39" i="4"/>
  <c r="B39" i="4"/>
  <c r="G38" i="4"/>
  <c r="B38" i="4"/>
  <c r="G37" i="4"/>
  <c r="B37" i="4"/>
  <c r="G36" i="4"/>
  <c r="B36" i="4"/>
  <c r="G35" i="4"/>
  <c r="B35" i="4"/>
  <c r="G34" i="4"/>
  <c r="B34" i="4"/>
  <c r="G33" i="4"/>
  <c r="B33" i="4"/>
  <c r="G32" i="4"/>
  <c r="B32" i="4"/>
  <c r="G31" i="4"/>
  <c r="B31" i="4"/>
  <c r="G30" i="4"/>
  <c r="B30" i="4"/>
  <c r="G29" i="4"/>
  <c r="B29" i="4"/>
  <c r="G28" i="4"/>
  <c r="B28" i="4"/>
  <c r="G27" i="4"/>
  <c r="B27" i="4"/>
  <c r="G26" i="4"/>
  <c r="B26" i="4"/>
  <c r="G25" i="4"/>
  <c r="B25" i="4"/>
  <c r="G24" i="4"/>
  <c r="B24" i="4"/>
  <c r="G23" i="4"/>
  <c r="B23" i="4"/>
  <c r="G22" i="4"/>
  <c r="B22" i="4"/>
  <c r="G21" i="4"/>
  <c r="B21" i="4"/>
  <c r="G20" i="4"/>
  <c r="B20" i="4"/>
  <c r="G19" i="4"/>
  <c r="B19" i="4"/>
  <c r="G18" i="4"/>
  <c r="B18" i="4"/>
  <c r="G17" i="4"/>
  <c r="B17" i="4"/>
  <c r="G16" i="4"/>
  <c r="B16" i="4"/>
  <c r="G15" i="4"/>
  <c r="B15" i="4"/>
  <c r="G14" i="4"/>
  <c r="B14" i="4"/>
  <c r="G13" i="4"/>
  <c r="B13" i="4"/>
  <c r="G12" i="4"/>
  <c r="B12" i="4"/>
  <c r="G11" i="4"/>
  <c r="B11" i="4"/>
  <c r="G10" i="4"/>
  <c r="B10" i="4"/>
  <c r="G9" i="4"/>
  <c r="B9" i="4"/>
  <c r="G8" i="4"/>
  <c r="B8" i="4"/>
  <c r="G7" i="4"/>
  <c r="B7" i="4"/>
  <c r="G6" i="4"/>
  <c r="B6" i="4"/>
  <c r="G5" i="4"/>
  <c r="B5" i="4"/>
  <c r="J134" i="3"/>
  <c r="I134" i="3"/>
  <c r="J133" i="3"/>
  <c r="I133" i="3"/>
  <c r="J132" i="3"/>
  <c r="I132" i="3"/>
  <c r="J131" i="3"/>
  <c r="I131" i="3"/>
  <c r="J130" i="3"/>
  <c r="I130" i="3"/>
  <c r="J129" i="3"/>
  <c r="I129" i="3"/>
  <c r="J128" i="3"/>
  <c r="I128" i="3"/>
  <c r="J127" i="3"/>
  <c r="I127" i="3"/>
  <c r="J126" i="3"/>
  <c r="I126" i="3"/>
  <c r="J125" i="3"/>
  <c r="I125" i="3"/>
  <c r="J124" i="3"/>
  <c r="I124" i="3"/>
  <c r="J123" i="3"/>
  <c r="I123" i="3"/>
  <c r="J122" i="3"/>
  <c r="I122" i="3"/>
  <c r="J121" i="3"/>
  <c r="I121" i="3"/>
  <c r="J120" i="3"/>
  <c r="I120" i="3"/>
  <c r="J119" i="3"/>
  <c r="I119" i="3"/>
  <c r="J118" i="3"/>
  <c r="I118" i="3"/>
  <c r="J117" i="3"/>
  <c r="I117" i="3"/>
  <c r="J116" i="3"/>
  <c r="I116" i="3"/>
  <c r="J115" i="3"/>
  <c r="I115" i="3"/>
  <c r="J114" i="3"/>
  <c r="I114" i="3"/>
  <c r="J113" i="3"/>
  <c r="I113" i="3"/>
  <c r="J112" i="3"/>
  <c r="I112" i="3"/>
  <c r="J111" i="3"/>
  <c r="I111" i="3"/>
  <c r="J110" i="3"/>
  <c r="I110" i="3"/>
  <c r="J109" i="3"/>
  <c r="I109" i="3"/>
  <c r="J108" i="3"/>
  <c r="I108" i="3"/>
  <c r="J107" i="3"/>
  <c r="I107" i="3"/>
  <c r="J106" i="3"/>
  <c r="I106" i="3"/>
  <c r="J105" i="3"/>
  <c r="I105" i="3"/>
  <c r="J104" i="3"/>
  <c r="I104" i="3"/>
  <c r="J103" i="3"/>
  <c r="I103" i="3"/>
  <c r="J102" i="3"/>
  <c r="I102" i="3"/>
  <c r="J101" i="3"/>
  <c r="I101" i="3"/>
  <c r="J100" i="3"/>
  <c r="I100" i="3"/>
  <c r="J99" i="3"/>
  <c r="I99" i="3"/>
  <c r="J98" i="3"/>
  <c r="I98" i="3"/>
  <c r="J97" i="3"/>
  <c r="I97" i="3"/>
  <c r="J96" i="3"/>
  <c r="I96" i="3"/>
  <c r="J95" i="3"/>
  <c r="I95" i="3"/>
  <c r="J94" i="3"/>
  <c r="I94" i="3"/>
  <c r="J93" i="3"/>
  <c r="I93" i="3"/>
  <c r="J92" i="3"/>
  <c r="I92" i="3"/>
  <c r="J91" i="3"/>
  <c r="I91" i="3"/>
  <c r="J90" i="3"/>
  <c r="I90" i="3"/>
  <c r="J89" i="3"/>
  <c r="I89" i="3"/>
  <c r="J88" i="3"/>
  <c r="I88" i="3"/>
  <c r="J87" i="3"/>
  <c r="I87" i="3"/>
  <c r="J86" i="3"/>
  <c r="I86" i="3"/>
  <c r="J85" i="3"/>
  <c r="I85" i="3"/>
  <c r="J84" i="3"/>
  <c r="I84" i="3"/>
  <c r="J83" i="3"/>
  <c r="I83" i="3"/>
  <c r="J82" i="3"/>
  <c r="I82" i="3"/>
  <c r="J81" i="3"/>
  <c r="I81" i="3"/>
  <c r="J80" i="3"/>
  <c r="I80" i="3"/>
  <c r="J79" i="3"/>
  <c r="I79" i="3"/>
  <c r="J78" i="3"/>
  <c r="I78" i="3"/>
  <c r="J77" i="3"/>
  <c r="I77" i="3"/>
  <c r="J76" i="3"/>
  <c r="I76" i="3"/>
  <c r="J75" i="3"/>
  <c r="I75" i="3"/>
  <c r="J74" i="3"/>
  <c r="I74" i="3"/>
  <c r="J73" i="3"/>
  <c r="I73" i="3"/>
  <c r="J72" i="3"/>
  <c r="I72" i="3"/>
  <c r="J71" i="3"/>
  <c r="I71" i="3"/>
  <c r="J70" i="3"/>
  <c r="I70" i="3"/>
  <c r="J69" i="3"/>
  <c r="I69" i="3"/>
  <c r="J68" i="3"/>
  <c r="I68" i="3"/>
  <c r="J67" i="3"/>
  <c r="I67" i="3"/>
  <c r="J66" i="3"/>
  <c r="I66" i="3"/>
  <c r="J65" i="3"/>
  <c r="I65" i="3"/>
  <c r="J64" i="3"/>
  <c r="I64" i="3"/>
  <c r="J63" i="3"/>
  <c r="I63" i="3"/>
  <c r="J62" i="3"/>
  <c r="I62" i="3"/>
  <c r="J61" i="3"/>
  <c r="I61" i="3"/>
  <c r="J60" i="3"/>
  <c r="I60" i="3"/>
  <c r="J59" i="3"/>
  <c r="I59" i="3"/>
  <c r="J58" i="3"/>
  <c r="I58" i="3"/>
  <c r="J57" i="3"/>
  <c r="I57" i="3"/>
  <c r="J56" i="3"/>
  <c r="I56" i="3"/>
  <c r="J55" i="3"/>
  <c r="I55" i="3"/>
  <c r="J54" i="3"/>
  <c r="I54" i="3"/>
  <c r="J53" i="3"/>
  <c r="I53" i="3"/>
  <c r="J52" i="3"/>
  <c r="I52" i="3"/>
  <c r="J51" i="3"/>
  <c r="I51" i="3"/>
  <c r="J50" i="3"/>
  <c r="I50" i="3"/>
  <c r="J49" i="3"/>
  <c r="I49" i="3"/>
  <c r="J48" i="3"/>
  <c r="I48" i="3"/>
  <c r="J47" i="3"/>
  <c r="I47" i="3"/>
  <c r="J46" i="3"/>
  <c r="I46" i="3"/>
  <c r="J45" i="3"/>
  <c r="I45" i="3"/>
  <c r="J44" i="3"/>
  <c r="I44" i="3"/>
  <c r="J43" i="3"/>
  <c r="I43" i="3"/>
  <c r="J42" i="3"/>
  <c r="I42" i="3"/>
  <c r="J41" i="3"/>
  <c r="I41" i="3"/>
  <c r="J40" i="3"/>
  <c r="I40" i="3"/>
  <c r="J39" i="3"/>
  <c r="I39" i="3"/>
  <c r="J38" i="3"/>
  <c r="I3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J7" i="3"/>
  <c r="I7" i="3"/>
  <c r="J6" i="3"/>
  <c r="I6" i="3"/>
  <c r="J5" i="3"/>
  <c r="J30" i="2"/>
  <c r="I30" i="2" s="1"/>
  <c r="H30" i="2"/>
  <c r="K30" i="2" s="1"/>
  <c r="G30" i="2"/>
  <c r="B30" i="2"/>
  <c r="C30" i="2" s="1"/>
  <c r="J29" i="2"/>
  <c r="I29" i="2" s="1"/>
  <c r="H29" i="2"/>
  <c r="K29" i="2" s="1"/>
  <c r="G29" i="2"/>
  <c r="B29" i="2"/>
  <c r="C29" i="2" s="1"/>
  <c r="J28" i="2"/>
  <c r="I28" i="2" s="1"/>
  <c r="H28" i="2"/>
  <c r="K28" i="2" s="1"/>
  <c r="G28" i="2"/>
  <c r="B28" i="2"/>
  <c r="C28" i="2" s="1"/>
  <c r="J27" i="2"/>
  <c r="I27" i="2" s="1"/>
  <c r="H27" i="2"/>
  <c r="K27" i="2" s="1"/>
  <c r="G27" i="2"/>
  <c r="B27" i="2"/>
  <c r="C27" i="2" s="1"/>
  <c r="J26" i="2"/>
  <c r="I26" i="2" s="1"/>
  <c r="H26" i="2"/>
  <c r="K26" i="2" s="1"/>
  <c r="G26" i="2"/>
  <c r="B26" i="2"/>
  <c r="C26" i="2" s="1"/>
  <c r="J25" i="2"/>
  <c r="I25" i="2" s="1"/>
  <c r="H25" i="2"/>
  <c r="K25" i="2" s="1"/>
  <c r="G25" i="2"/>
  <c r="B25" i="2"/>
  <c r="C25" i="2" s="1"/>
  <c r="J24" i="2"/>
  <c r="I24" i="2" s="1"/>
  <c r="H24" i="2"/>
  <c r="K24" i="2" s="1"/>
  <c r="G24" i="2"/>
  <c r="B24" i="2"/>
  <c r="C24" i="2" s="1"/>
  <c r="K23" i="2"/>
  <c r="J23" i="2"/>
  <c r="I23" i="2" s="1"/>
  <c r="H23" i="2"/>
  <c r="G23" i="2"/>
  <c r="B23" i="2"/>
  <c r="C23" i="2" s="1"/>
  <c r="K22" i="2"/>
  <c r="J22" i="2"/>
  <c r="I22" i="2" s="1"/>
  <c r="H22" i="2"/>
  <c r="G22" i="2"/>
  <c r="C22" i="2"/>
  <c r="B22" i="2"/>
  <c r="K21" i="2"/>
  <c r="J21" i="2"/>
  <c r="I21" i="2" s="1"/>
  <c r="H21" i="2"/>
  <c r="G21" i="2"/>
  <c r="C21" i="2"/>
  <c r="B21" i="2"/>
  <c r="K20" i="2"/>
  <c r="J20" i="2"/>
  <c r="I20" i="2" s="1"/>
  <c r="H20" i="2"/>
  <c r="G20" i="2"/>
  <c r="B20" i="2"/>
  <c r="C20" i="2" s="1"/>
  <c r="J19" i="2"/>
  <c r="I19" i="2" s="1"/>
  <c r="H19" i="2"/>
  <c r="C41" i="1" s="1"/>
  <c r="G19" i="2"/>
  <c r="B41" i="1" s="1"/>
  <c r="B19" i="2"/>
  <c r="C19" i="2" s="1"/>
  <c r="J18" i="2"/>
  <c r="I18" i="2" s="1"/>
  <c r="H18" i="2"/>
  <c r="G18" i="2"/>
  <c r="K18" i="2" s="1"/>
  <c r="B18" i="2"/>
  <c r="C18" i="2" s="1"/>
  <c r="J17" i="2"/>
  <c r="I17" i="2" s="1"/>
  <c r="H17" i="2"/>
  <c r="K17" i="2" s="1"/>
  <c r="G17" i="2"/>
  <c r="B39" i="1" s="1"/>
  <c r="B17" i="2"/>
  <c r="C17" i="2" s="1"/>
  <c r="J16" i="2"/>
  <c r="H16" i="2"/>
  <c r="K16" i="2" s="1"/>
  <c r="G16" i="2"/>
  <c r="B16" i="2"/>
  <c r="I16" i="2" s="1"/>
  <c r="K15" i="2"/>
  <c r="J15" i="2"/>
  <c r="I15" i="2" s="1"/>
  <c r="H15" i="2"/>
  <c r="G15" i="2"/>
  <c r="B15" i="2"/>
  <c r="C15" i="2" s="1"/>
  <c r="K14" i="2"/>
  <c r="J14" i="2"/>
  <c r="I14" i="2" s="1"/>
  <c r="H14" i="2"/>
  <c r="G14" i="2"/>
  <c r="B36" i="1" s="1"/>
  <c r="B14" i="2"/>
  <c r="C14" i="2" s="1"/>
  <c r="K13" i="2"/>
  <c r="J13" i="2"/>
  <c r="I13" i="2" s="1"/>
  <c r="H13" i="2"/>
  <c r="G13" i="2"/>
  <c r="C13" i="2"/>
  <c r="B13" i="2"/>
  <c r="J12" i="2"/>
  <c r="I12" i="2"/>
  <c r="H12" i="2"/>
  <c r="C34" i="1" s="1"/>
  <c r="G12" i="2"/>
  <c r="C12" i="2"/>
  <c r="B12" i="2"/>
  <c r="J11" i="2"/>
  <c r="I11" i="2"/>
  <c r="H11" i="2"/>
  <c r="K11" i="2" s="1"/>
  <c r="G11" i="2"/>
  <c r="B11" i="2"/>
  <c r="C11" i="2" s="1"/>
  <c r="K10" i="2"/>
  <c r="J10" i="2"/>
  <c r="I10" i="2" s="1"/>
  <c r="H10" i="2"/>
  <c r="C32" i="1" s="1"/>
  <c r="G10" i="2"/>
  <c r="B32" i="1" s="1"/>
  <c r="C10" i="2"/>
  <c r="B10" i="2"/>
  <c r="K9" i="2"/>
  <c r="J9" i="2"/>
  <c r="I9" i="2" s="1"/>
  <c r="H9" i="2"/>
  <c r="G9" i="2"/>
  <c r="C9" i="2"/>
  <c r="B9" i="2"/>
  <c r="K8" i="2"/>
  <c r="J8" i="2"/>
  <c r="I8" i="2" s="1"/>
  <c r="H8" i="2"/>
  <c r="G8" i="2"/>
  <c r="B8" i="2"/>
  <c r="C8" i="2" s="1"/>
  <c r="J7" i="2"/>
  <c r="I7" i="2" s="1"/>
  <c r="H7" i="2"/>
  <c r="C29" i="1" s="1"/>
  <c r="G7" i="2"/>
  <c r="B29" i="1" s="1"/>
  <c r="B7" i="2"/>
  <c r="C7" i="2" s="1"/>
  <c r="J6" i="2"/>
  <c r="I6" i="2" s="1"/>
  <c r="H6" i="2"/>
  <c r="K6" i="2" s="1"/>
  <c r="G6" i="2"/>
  <c r="B28" i="1" s="1"/>
  <c r="C6" i="2"/>
  <c r="B6" i="2"/>
  <c r="J5" i="2"/>
  <c r="I5" i="2" s="1"/>
  <c r="H5" i="2"/>
  <c r="K5" i="2" s="1"/>
  <c r="G5" i="2"/>
  <c r="B27" i="1" s="1"/>
  <c r="B5" i="2"/>
  <c r="C5" i="2" s="1"/>
  <c r="C52" i="1"/>
  <c r="B52" i="1"/>
  <c r="C51" i="1"/>
  <c r="B51" i="1"/>
  <c r="C50" i="1"/>
  <c r="B50" i="1"/>
  <c r="C49" i="1"/>
  <c r="B49" i="1"/>
  <c r="C48" i="1"/>
  <c r="B48" i="1"/>
  <c r="C47" i="1"/>
  <c r="B47" i="1"/>
  <c r="C46" i="1"/>
  <c r="B46" i="1"/>
  <c r="C45" i="1"/>
  <c r="B45" i="1"/>
  <c r="C44" i="1"/>
  <c r="B44" i="1"/>
  <c r="C43" i="1"/>
  <c r="B43" i="1"/>
  <c r="C42" i="1"/>
  <c r="B42" i="1"/>
  <c r="C40" i="1"/>
  <c r="B40" i="1"/>
  <c r="C39" i="1"/>
  <c r="C38" i="1"/>
  <c r="B38" i="1"/>
  <c r="C37" i="1"/>
  <c r="B37" i="1"/>
  <c r="C36" i="1"/>
  <c r="C35" i="1"/>
  <c r="B35" i="1"/>
  <c r="B34" i="1"/>
  <c r="C33" i="1"/>
  <c r="B33" i="1"/>
  <c r="C31" i="1"/>
  <c r="B31" i="1"/>
  <c r="C30" i="1"/>
  <c r="B30" i="1"/>
  <c r="C27" i="1"/>
  <c r="D22" i="1"/>
  <c r="C22" i="1"/>
  <c r="B22" i="1"/>
  <c r="D21" i="1"/>
  <c r="C21" i="1"/>
  <c r="B21" i="1"/>
  <c r="D20" i="1"/>
  <c r="C20" i="1"/>
  <c r="B20" i="1"/>
  <c r="D19" i="1"/>
  <c r="C19" i="1"/>
  <c r="B19" i="1"/>
  <c r="D18" i="1"/>
  <c r="C18" i="1"/>
  <c r="B18" i="1"/>
  <c r="D17" i="1"/>
  <c r="C17" i="1"/>
  <c r="B17" i="1"/>
  <c r="D16" i="1"/>
  <c r="C16" i="1"/>
  <c r="B16" i="1"/>
  <c r="L11" i="1"/>
  <c r="L10" i="1"/>
  <c r="J6" i="1"/>
  <c r="C12" i="1" s="1"/>
  <c r="G6" i="1"/>
  <c r="D6" i="1"/>
  <c r="A6" i="1"/>
  <c r="C16" i="2" l="1"/>
  <c r="C11" i="1"/>
  <c r="K12" i="2"/>
  <c r="K7" i="2"/>
  <c r="K19" i="2"/>
  <c r="C10" i="1"/>
  <c r="L12" i="1"/>
  <c r="C28" i="1"/>
</calcChain>
</file>

<file path=xl/sharedStrings.xml><?xml version="1.0" encoding="utf-8"?>
<sst xmlns="http://schemas.openxmlformats.org/spreadsheetml/2006/main" count="1352" uniqueCount="628">
  <si>
    <t>PL/SQL Zero-to-Hero Progress Dashboard</t>
  </si>
  <si>
    <t>Default plan: 26 weeks from 2026-07-20 at 8 hours per week. Change assumptions on Setup.</t>
  </si>
  <si>
    <t>Overall Progress</t>
  </si>
  <si>
    <t>Topics Completed</t>
  </si>
  <si>
    <t>Hours Logged</t>
  </si>
  <si>
    <t>Current Week</t>
  </si>
  <si>
    <t>Current Focus</t>
  </si>
  <si>
    <t>Needs Attention</t>
  </si>
  <si>
    <t>Phase</t>
  </si>
  <si>
    <t>Overdue topics</t>
  </si>
  <si>
    <t>Focus</t>
  </si>
  <si>
    <t>Blocked topics</t>
  </si>
  <si>
    <t>Deliverable</t>
  </si>
  <si>
    <t>Current hours variance</t>
  </si>
  <si>
    <t>Completion</t>
  </si>
  <si>
    <t>Topics Done</t>
  </si>
  <si>
    <t>Total Topics</t>
  </si>
  <si>
    <t>Oracle SQL</t>
  </si>
  <si>
    <t>PL/SQL Fundamentals</t>
  </si>
  <si>
    <t>Intermediate PL/SQL</t>
  </si>
  <si>
    <t>Enterprise PL/SQL</t>
  </si>
  <si>
    <t>Production PL/SQL</t>
  </si>
  <si>
    <t>APEX Integration</t>
  </si>
  <si>
    <t>Capstone</t>
  </si>
  <si>
    <t>Week</t>
  </si>
  <si>
    <t>Planned Hours</t>
  </si>
  <si>
    <t>Logged Hours</t>
  </si>
  <si>
    <t>How to use this tracker</t>
  </si>
  <si>
    <t>1) Change start date or weekly target on Setup.  2) Update each Topic Checklist status and attach evidence.  3) Record every study session in Practice Log.  4) Review Weekly Tracker and Milestones at the end of each week.  5) Use Capstone as your final portfolio definition of done.</t>
  </si>
  <si>
    <t>26-Week PL/SQL &amp; Oracle APEX Roadmap</t>
  </si>
  <si>
    <t>Weekly completion and actual hours are calculated from the Topic Checklist and Practice Log.</t>
  </si>
  <si>
    <t>Start</t>
  </si>
  <si>
    <t>End</t>
  </si>
  <si>
    <t>Weekly Focus</t>
  </si>
  <si>
    <t>Exit Deliverable</t>
  </si>
  <si>
    <t>Actual Hours</t>
  </si>
  <si>
    <t>Status</t>
  </si>
  <si>
    <t>Topic Completion</t>
  </si>
  <si>
    <t>Hours Variance</t>
  </si>
  <si>
    <t>Weekly Review Notes</t>
  </si>
  <si>
    <t>Relational design and Oracle data types</t>
  </si>
  <si>
    <t>Inventory ERD and normalized table plan</t>
  </si>
  <si>
    <t>SELECT, filtering and Oracle functions</t>
  </si>
  <si>
    <t>Twenty accurate single-table queries</t>
  </si>
  <si>
    <t>Joins, aggregation and subqueries</t>
  </si>
  <si>
    <t>Sales and inventory reporting query set</t>
  </si>
  <si>
    <t>DDL, DML, transactions and advanced SQL</t>
  </si>
  <si>
    <t>Working schema plus 40-query checkpoint</t>
  </si>
  <si>
    <t>PL/SQL blocks, variables and anchored types</t>
  </si>
  <si>
    <t>Anonymous blocks that safely read and calculate data</t>
  </si>
  <si>
    <t>Control flow and local logic</t>
  </si>
  <si>
    <t>Validated calculation and decision blocks</t>
  </si>
  <si>
    <t>SQL inside PL/SQL and transaction control</t>
  </si>
  <si>
    <t>Safe stock-update transaction</t>
  </si>
  <si>
    <t>Procedures, functions and exceptions</t>
  </si>
  <si>
    <t>Reusable order-calculation module</t>
  </si>
  <si>
    <t>Advanced cursors and records</t>
  </si>
  <si>
    <t>Cursor-driven reporting procedure</t>
  </si>
  <si>
    <t>Collections and in-memory processing</t>
  </si>
  <si>
    <t>Collection-based data transformation</t>
  </si>
  <si>
    <t>Package architecture</t>
  </si>
  <si>
    <t>order_api package specification and body</t>
  </si>
  <si>
    <t>Triggers and error architecture</t>
  </si>
  <si>
    <t>Audited package API with structured errors</t>
  </si>
  <si>
    <t>Transactions, locking and concurrency</t>
  </si>
  <si>
    <t>Two-session stock reservation test</t>
  </si>
  <si>
    <t>Dynamic SQL and SQL-injection defense</t>
  </si>
  <si>
    <t>Secure dynamic reporting procedure</t>
  </si>
  <si>
    <t>Privileges, roles and execution rights</t>
  </si>
  <si>
    <t>Least-privilege package access model</t>
  </si>
  <si>
    <t>Jobs, LOBs, JSON and REST fundamentals</t>
  </si>
  <si>
    <t>Scheduled low-stock notification process</t>
  </si>
  <si>
    <t>SQL performance and execution plans</t>
  </si>
  <si>
    <t>Measured tuning of a slow report</t>
  </si>
  <si>
    <t>Bulk PL/SQL and context switching</t>
  </si>
  <si>
    <t>Benchmark: row-by-row versus bulk processing</t>
  </si>
  <si>
    <t>Automated testing with utPLSQL</t>
  </si>
  <si>
    <t>Automated tests for a business package</t>
  </si>
  <si>
    <t>Debugging, instrumentation and database DevOps</t>
  </si>
  <si>
    <t>Release-ready, versioned package module</t>
  </si>
  <si>
    <t>APEX lifecycle, session state and processing</t>
  </si>
  <si>
    <t>APEX page calling a packaged business API</t>
  </si>
  <si>
    <t>APEX security and core PL/SQL APIs</t>
  </si>
  <si>
    <t>Secure, validated and instrumented APEX flow</t>
  </si>
  <si>
    <t>Capstone requirements and architecture</t>
  </si>
  <si>
    <t>Approved ERD, package contracts and build plan</t>
  </si>
  <si>
    <t>Capstone core transaction workflows</t>
  </si>
  <si>
    <t>Working inventory and order workflow</t>
  </si>
  <si>
    <t>Capstone reporting and integrations</t>
  </si>
  <si>
    <t>Operational dashboard, jobs and integrations</t>
  </si>
  <si>
    <t>Hardening, documentation and demonstration</t>
  </si>
  <si>
    <t>Portfolio-ready application and repository</t>
  </si>
  <si>
    <t>Topic Checklist</t>
  </si>
  <si>
    <t>Update Status and add evidence. Weekly and dashboard progress recalculate from these rows.</t>
  </si>
  <si>
    <t>ID</t>
  </si>
  <si>
    <t>Topic</t>
  </si>
  <si>
    <t>Practical Evidence</t>
  </si>
  <si>
    <t>Priority</t>
  </si>
  <si>
    <t>Evidence / Link</t>
  </si>
  <si>
    <t>Due Date</t>
  </si>
  <si>
    <t>Notes</t>
  </si>
  <si>
    <t>T001</t>
  </si>
  <si>
    <t>Relational concepts, keys and cardinality</t>
  </si>
  <si>
    <t>Model one-to-many and many-to-many relationships</t>
  </si>
  <si>
    <t>Core</t>
  </si>
  <si>
    <t>Not Started</t>
  </si>
  <si>
    <t>T002</t>
  </si>
  <si>
    <t>Normalization through 3NF</t>
  </si>
  <si>
    <t>Normalize a raw inventory spreadsheet into related tables</t>
  </si>
  <si>
    <t>T003</t>
  </si>
  <si>
    <t>Oracle schema objects</t>
  </si>
  <si>
    <t>Identify tables, views, indexes, sequences and packages</t>
  </si>
  <si>
    <t>T004</t>
  </si>
  <si>
    <t>Oracle data types and NULL</t>
  </si>
  <si>
    <t>Choose correct types for inventory and orders</t>
  </si>
  <si>
    <t>T005</t>
  </si>
  <si>
    <t>ERD design</t>
  </si>
  <si>
    <t>Draw the first inventory and order ERD</t>
  </si>
  <si>
    <t>T006</t>
  </si>
  <si>
    <t>SELECT, aliases and expressions</t>
  </si>
  <si>
    <t>Write readable projection queries with aliases</t>
  </si>
  <si>
    <t>T007</t>
  </si>
  <si>
    <t>WHERE predicates and NULL logic</t>
  </si>
  <si>
    <t>Test comparison, range, list and null predicates</t>
  </si>
  <si>
    <t>T008</t>
  </si>
  <si>
    <t>String, number and date functions</t>
  </si>
  <si>
    <t>Create formatted customer and order outputs</t>
  </si>
  <si>
    <t>T009</t>
  </si>
  <si>
    <t>CASE, NVL, COALESCE and NULLIF</t>
  </si>
  <si>
    <t>Convert raw values into business-friendly labels</t>
  </si>
  <si>
    <t>T010</t>
  </si>
  <si>
    <t>Ordering and row limiting</t>
  </si>
  <si>
    <t>Produce deterministic top-N reports</t>
  </si>
  <si>
    <t>Important</t>
  </si>
  <si>
    <t>T011</t>
  </si>
  <si>
    <t>Inner, outer and self joins</t>
  </si>
  <si>
    <t>Join products, suppliers, orders and employees</t>
  </si>
  <si>
    <t>T012</t>
  </si>
  <si>
    <t>Aggregates, GROUP BY and HAVING</t>
  </si>
  <si>
    <t>Calculate revenue and stock totals</t>
  </si>
  <si>
    <t>T013</t>
  </si>
  <si>
    <t>Subqueries and correlated subqueries</t>
  </si>
  <si>
    <t>Find customers above their regional average</t>
  </si>
  <si>
    <t>T014</t>
  </si>
  <si>
    <t>EXISTS and NOT EXISTS</t>
  </si>
  <si>
    <t>Find products with no stock movement</t>
  </si>
  <si>
    <t>T015</t>
  </si>
  <si>
    <t>Set operators</t>
  </si>
  <si>
    <t>Compare active and inactive customer sets</t>
  </si>
  <si>
    <t>T016</t>
  </si>
  <si>
    <t>Tables and integrity constraints</t>
  </si>
  <si>
    <t>Create tables with PK, FK, UNIQUE, CHECK and NOT NULL</t>
  </si>
  <si>
    <t>T017</t>
  </si>
  <si>
    <t>INSERT, UPDATE and DELETE</t>
  </si>
  <si>
    <t>Load and safely modify seed data</t>
  </si>
  <si>
    <t>T018</t>
  </si>
  <si>
    <t>MERGE and RETURNING INTO</t>
  </si>
  <si>
    <t>Implement an upsert and capture generated identifiers</t>
  </si>
  <si>
    <t>T019</t>
  </si>
  <si>
    <t>COMMIT, ROLLBACK and SAVEPOINT</t>
  </si>
  <si>
    <t>Prove transaction rollback behavior</t>
  </si>
  <si>
    <t>T020</t>
  </si>
  <si>
    <t>Views, sequences, identity, indexes, CTEs and analytics</t>
  </si>
  <si>
    <t>Complete the 40-query SQL checkpoint</t>
  </si>
  <si>
    <t>T021</t>
  </si>
  <si>
    <t>Anonymous block structure</t>
  </si>
  <si>
    <t>Write DECLARE, BEGIN, EXCEPTION and END sections</t>
  </si>
  <si>
    <t>T022</t>
  </si>
  <si>
    <t>Variables and constants</t>
  </si>
  <si>
    <t>Declare values using appropriate PL/SQL types</t>
  </si>
  <si>
    <t>T023</t>
  </si>
  <si>
    <t>%TYPE and %ROWTYPE</t>
  </si>
  <si>
    <t>Anchor variables and records to schema definitions</t>
  </si>
  <si>
    <t>T024</t>
  </si>
  <si>
    <t>Scope and nested blocks</t>
  </si>
  <si>
    <t>Demonstrate shadowing and identifier qualification</t>
  </si>
  <si>
    <t>T025</t>
  </si>
  <si>
    <t>DBMS_OUTPUT for learning</t>
  </si>
  <si>
    <t>Print calculated order totals while debugging</t>
  </si>
  <si>
    <t>T026</t>
  </si>
  <si>
    <t>IF, ELSIF and searched CASE</t>
  </si>
  <si>
    <t>Implement order discount rules</t>
  </si>
  <si>
    <t>T027</t>
  </si>
  <si>
    <t>LOOP, WHILE and numeric FOR</t>
  </si>
  <si>
    <t>Process controlled sample iterations</t>
  </si>
  <si>
    <t>T028</t>
  </si>
  <si>
    <t>EXIT and CONTINUE</t>
  </si>
  <si>
    <t>Stop and skip iterations safely</t>
  </si>
  <si>
    <t>T029</t>
  </si>
  <si>
    <t>Expressions and short-circuit evaluation</t>
  </si>
  <si>
    <t>Protect calculations from invalid inputs</t>
  </si>
  <si>
    <t>T030</t>
  </si>
  <si>
    <t>Local subprograms</t>
  </si>
  <si>
    <t>Extract repeated validation logic into a local routine</t>
  </si>
  <si>
    <t>T031</t>
  </si>
  <si>
    <t>SELECT INTO</t>
  </si>
  <si>
    <t>Fetch exactly one product and handle result cardinality</t>
  </si>
  <si>
    <t>T032</t>
  </si>
  <si>
    <t>Implicit cursor attributes</t>
  </si>
  <si>
    <t>Check SQL%ROWCOUNT, SQL%FOUND and SQL%NOTFOUND</t>
  </si>
  <si>
    <t>T033</t>
  </si>
  <si>
    <t>DML RETURNING INTO</t>
  </si>
  <si>
    <t>Update inventory and return the resulting value</t>
  </si>
  <si>
    <t>T034</t>
  </si>
  <si>
    <t>Transaction ownership</t>
  </si>
  <si>
    <t>Build a multi-step operation with one clear boundary</t>
  </si>
  <si>
    <t>T035</t>
  </si>
  <si>
    <t>Basic cursor FOR loop</t>
  </si>
  <si>
    <t>Read a report result safely without manual open and close</t>
  </si>
  <si>
    <t>T036</t>
  </si>
  <si>
    <t>Standalone procedures and functions</t>
  </si>
  <si>
    <t>Create reusable order total routines</t>
  </si>
  <si>
    <t>T037</t>
  </si>
  <si>
    <t>IN, OUT and IN OUT parameters</t>
  </si>
  <si>
    <t>Return identifiers and calculated totals</t>
  </si>
  <si>
    <t>T038</t>
  </si>
  <si>
    <t>Defaults and named notation</t>
  </si>
  <si>
    <t>Call routines using clear named parameters</t>
  </si>
  <si>
    <t>T039</t>
  </si>
  <si>
    <t>Predefined and user exceptions</t>
  </si>
  <si>
    <t>Handle expected data and business failures</t>
  </si>
  <si>
    <t>T040</t>
  </si>
  <si>
    <t>RAISE and RAISE_APPLICATION_ERROR</t>
  </si>
  <si>
    <t>Expose a meaningful application error</t>
  </si>
  <si>
    <t>T041</t>
  </si>
  <si>
    <t>Explicit cursor lifecycle</t>
  </si>
  <si>
    <t>OPEN, FETCH and CLOSE a multi-row result</t>
  </si>
  <si>
    <t>T042</t>
  </si>
  <si>
    <t>Parameterized cursors</t>
  </si>
  <si>
    <t>Filter orders through cursor parameters</t>
  </si>
  <si>
    <t>T043</t>
  </si>
  <si>
    <t>Cursor attributes and cursor FOR loops</t>
  </si>
  <si>
    <t>Choose the simplest correct cursor style</t>
  </si>
  <si>
    <t>T044</t>
  </si>
  <si>
    <t>SELECT FOR UPDATE and CURRENT OF</t>
  </si>
  <si>
    <t>Lock and update an order safely</t>
  </si>
  <si>
    <t>T045</t>
  </si>
  <si>
    <t>SYS_REFCURSOR and records</t>
  </si>
  <si>
    <t>Return a flexible report result set</t>
  </si>
  <si>
    <t>T046</t>
  </si>
  <si>
    <t>Associative arrays</t>
  </si>
  <si>
    <t>Build an indexed in-memory lookup</t>
  </si>
  <si>
    <t>T047</t>
  </si>
  <si>
    <t>Nested tables</t>
  </si>
  <si>
    <t>Store and query a variable-size collection</t>
  </si>
  <si>
    <t>T048</t>
  </si>
  <si>
    <t>Varrays</t>
  </si>
  <si>
    <t>Explain and implement a bounded collection use case</t>
  </si>
  <si>
    <t>T049</t>
  </si>
  <si>
    <t>Collection methods</t>
  </si>
  <si>
    <t>Use COUNT, FIRST, LAST, NEXT, EXISTS and DELETE</t>
  </si>
  <si>
    <t>T050</t>
  </si>
  <si>
    <t>Collections of records</t>
  </si>
  <si>
    <t>Transform a set of inventory records</t>
  </si>
  <si>
    <t>T051</t>
  </si>
  <si>
    <t>Package specification and body</t>
  </si>
  <si>
    <t>Separate the public API from implementation</t>
  </si>
  <si>
    <t>T052</t>
  </si>
  <si>
    <t>Public and private members</t>
  </si>
  <si>
    <t>Hide helper routines from callers</t>
  </si>
  <si>
    <t>T053</t>
  </si>
  <si>
    <t>Overloading and forward declarations</t>
  </si>
  <si>
    <t>Design clear related API operations</t>
  </si>
  <si>
    <t>T054</t>
  </si>
  <si>
    <t>Package initialization and state</t>
  </si>
  <si>
    <t>Demonstrate session-specific package state</t>
  </si>
  <si>
    <t>T055</t>
  </si>
  <si>
    <t>Dependencies and compilation errors</t>
  </si>
  <si>
    <t>Find and repair an invalid package</t>
  </si>
  <si>
    <t>T056</t>
  </si>
  <si>
    <t>Row and statement DML triggers</t>
  </si>
  <si>
    <t>Compare trigger timing and scope</t>
  </si>
  <si>
    <t>T057</t>
  </si>
  <si>
    <t>:OLD, :NEW and DML predicates</t>
  </si>
  <si>
    <t>Build a focused audit trigger</t>
  </si>
  <si>
    <t>T058</t>
  </si>
  <si>
    <t>Compound and INSTEAD OF triggers</t>
  </si>
  <si>
    <t>Solve a controlled advanced trigger scenario</t>
  </si>
  <si>
    <t>T059</t>
  </si>
  <si>
    <t>Mutating tables and trigger design</t>
  </si>
  <si>
    <t>Refactor hidden business logic into a package</t>
  </si>
  <si>
    <t>T060</t>
  </si>
  <si>
    <t>Structured error package</t>
  </si>
  <si>
    <t>Capture stack, backtrace and business context</t>
  </si>
  <si>
    <t>T061</t>
  </si>
  <si>
    <t>Transaction boundaries and atomicity</t>
  </si>
  <si>
    <t>Define the owner of commit and rollback</t>
  </si>
  <si>
    <t>T062</t>
  </si>
  <si>
    <t>Read consistency and row locking</t>
  </si>
  <si>
    <t>Observe locks from two sessions</t>
  </si>
  <si>
    <t>T063</t>
  </si>
  <si>
    <t>NOWAIT and SKIP LOCKED</t>
  </si>
  <si>
    <t>Build a controlled work-queue example</t>
  </si>
  <si>
    <t>T064</t>
  </si>
  <si>
    <t>Lost updates and optimistic locking</t>
  </si>
  <si>
    <t>Reject an update using a stale version</t>
  </si>
  <si>
    <t>T065</t>
  </si>
  <si>
    <t>Deadlocks and savepoints</t>
  </si>
  <si>
    <t>Reproduce and explain a locking failure</t>
  </si>
  <si>
    <t>T066</t>
  </si>
  <si>
    <t>When dynamic SQL is required</t>
  </si>
  <si>
    <t>Separate genuine needs from avoidable dynamic SQL</t>
  </si>
  <si>
    <t>T067</t>
  </si>
  <si>
    <t>EXECUTE IMMEDIATE</t>
  </si>
  <si>
    <t>Run dynamic DML and capture output safely</t>
  </si>
  <si>
    <t>T068</t>
  </si>
  <si>
    <t>OPEN FOR dynamic queries</t>
  </si>
  <si>
    <t>Return a dynamic report cursor</t>
  </si>
  <si>
    <t>T069</t>
  </si>
  <si>
    <t>Bind variables</t>
  </si>
  <si>
    <t>Replace concatenated values with binds</t>
  </si>
  <si>
    <t>T070</t>
  </si>
  <si>
    <t>DBMS_ASSERT and SQL-injection defense</t>
  </si>
  <si>
    <t>Secure a dynamic identifier use case</t>
  </si>
  <si>
    <t>T071</t>
  </si>
  <si>
    <t>Object and system privileges</t>
  </si>
  <si>
    <t>Grant only the privileges required by the module</t>
  </si>
  <si>
    <t>T072</t>
  </si>
  <si>
    <t>Roles and least privilege</t>
  </si>
  <si>
    <t>Design separate runtime and owner responsibilities</t>
  </si>
  <si>
    <t>T073</t>
  </si>
  <si>
    <t>AUTHID DEFINER and CURRENT_USER</t>
  </si>
  <si>
    <t>Compare definer-rights and invoker-rights behavior</t>
  </si>
  <si>
    <t>T074</t>
  </si>
  <si>
    <t>ACCESSIBLE BY</t>
  </si>
  <si>
    <t>Restrict a helper package to its intended caller</t>
  </si>
  <si>
    <t>T075</t>
  </si>
  <si>
    <t>Secure package API</t>
  </si>
  <si>
    <t>Expose EXECUTE without direct table modification</t>
  </si>
  <si>
    <t>T076</t>
  </si>
  <si>
    <t>DBMS_SCHEDULER</t>
  </si>
  <si>
    <t>Create and monitor a scheduled low-stock job</t>
  </si>
  <si>
    <t>T077</t>
  </si>
  <si>
    <t>CLOB, BLOB and file handling</t>
  </si>
  <si>
    <t>Store and retrieve a controlled attachment</t>
  </si>
  <si>
    <t>T078</t>
  </si>
  <si>
    <t>JSON in SQL and PL/SQL</t>
  </si>
  <si>
    <t>Generate and parse an order payload</t>
  </si>
  <si>
    <t>T079</t>
  </si>
  <si>
    <t>REST and ORDS fundamentals</t>
  </si>
  <si>
    <t>Describe or expose a controlled REST operation</t>
  </si>
  <si>
    <t>T080</t>
  </si>
  <si>
    <t>Notification workflow</t>
  </si>
  <si>
    <t>Run a scheduled low-stock notification process</t>
  </si>
  <si>
    <t>T081</t>
  </si>
  <si>
    <t>Oracle SQL processing and optimizer basics</t>
  </si>
  <si>
    <t>Explain parse, optimize and execute at a high level</t>
  </si>
  <si>
    <t>T082</t>
  </si>
  <si>
    <t>EXPLAIN PLAN and DBMS_XPLAN</t>
  </si>
  <si>
    <t>Read access paths and row estimates</t>
  </si>
  <si>
    <t>T083</t>
  </si>
  <si>
    <t>Indexes and access paths</t>
  </si>
  <si>
    <t>Compare a useful and an ineffective index</t>
  </si>
  <si>
    <t>T084</t>
  </si>
  <si>
    <t>Implicit conversions and sargability</t>
  </si>
  <si>
    <t>Repair a query that blocks index usage</t>
  </si>
  <si>
    <t>T085</t>
  </si>
  <si>
    <t>Measured SQL tuning</t>
  </si>
  <si>
    <t>Benchmark and improve one slow report</t>
  </si>
  <si>
    <t>T086</t>
  </si>
  <si>
    <t>Set-based SQL before loops</t>
  </si>
  <si>
    <t>Replace a row-by-row operation with one SQL statement</t>
  </si>
  <si>
    <t>T087</t>
  </si>
  <si>
    <t>BULK COLLECT and LIMIT</t>
  </si>
  <si>
    <t>Fetch a large result in controlled batches</t>
  </si>
  <si>
    <t>T088</t>
  </si>
  <si>
    <t>FORALL</t>
  </si>
  <si>
    <t>Bulk insert or update a collection</t>
  </si>
  <si>
    <t>T089</t>
  </si>
  <si>
    <t>SAVE EXCEPTIONS and SQL%BULK_EXCEPTIONS</t>
  </si>
  <si>
    <t>Report row-level bulk failures</t>
  </si>
  <si>
    <t>T090</t>
  </si>
  <si>
    <t>Performance benchmark</t>
  </si>
  <si>
    <t>Compare elapsed time for loop and bulk versions</t>
  </si>
  <si>
    <t>T091</t>
  </si>
  <si>
    <t>Unit-testing principles</t>
  </si>
  <si>
    <t>Define isolated and repeatable database tests</t>
  </si>
  <si>
    <t>T092</t>
  </si>
  <si>
    <t>utPLSQL suite structure</t>
  </si>
  <si>
    <t>Create an annotated test package</t>
  </si>
  <si>
    <t>T093</t>
  </si>
  <si>
    <t>Expectations and exception tests</t>
  </si>
  <si>
    <t>Verify output and expected failures</t>
  </si>
  <si>
    <t>T094</t>
  </si>
  <si>
    <t>Fixtures and transaction control</t>
  </si>
  <si>
    <t>Prepare and clean deterministic test data</t>
  </si>
  <si>
    <t>T095</t>
  </si>
  <si>
    <t>Coverage and regression suite</t>
  </si>
  <si>
    <t>Run a package suite and review coverage</t>
  </si>
  <si>
    <t>T096</t>
  </si>
  <si>
    <t>Error stack, backtrace and call stack</t>
  </si>
  <si>
    <t>Preserve the original failure location</t>
  </si>
  <si>
    <t>T097</t>
  </si>
  <si>
    <t>APEX_DEBUG and DBMS_APPLICATION_INFO</t>
  </si>
  <si>
    <t>Instrument a packaged operation</t>
  </si>
  <si>
    <t>T098</t>
  </si>
  <si>
    <t>Compiler warnings and PL/Scope</t>
  </si>
  <si>
    <t>Find unused or risky code</t>
  </si>
  <si>
    <t>T099</t>
  </si>
  <si>
    <t>Git and database source organization</t>
  </si>
  <si>
    <t>Commit repeatable object scripts</t>
  </si>
  <si>
    <t>T100</t>
  </si>
  <si>
    <t>SQLcl, Liquibase and APEX exports</t>
  </si>
  <si>
    <t>Produce a repeatable release package</t>
  </si>
  <si>
    <t>T101</t>
  </si>
  <si>
    <t>APEX render and submit lifecycle</t>
  </si>
  <si>
    <t>Trace a page request through processing</t>
  </si>
  <si>
    <t>T102</t>
  </si>
  <si>
    <t>Page items and session state</t>
  </si>
  <si>
    <t>Inspect and clear session values</t>
  </si>
  <si>
    <t>T103</t>
  </si>
  <si>
    <t>Bind variables versus substitution strings</t>
  </si>
  <si>
    <t>Use each syntax only in its safe context</t>
  </si>
  <si>
    <t>T104</t>
  </si>
  <si>
    <t>Computations, validations and processes</t>
  </si>
  <si>
    <t>Build a correctly ordered submit flow</t>
  </si>
  <si>
    <t>T105</t>
  </si>
  <si>
    <t>Conditions, branches and APEX debug</t>
  </si>
  <si>
    <t>Debug a conditional packaged process</t>
  </si>
  <si>
    <t>T106</t>
  </si>
  <si>
    <t>Authentication and authorization</t>
  </si>
  <si>
    <t>Protect a page and business operation by role</t>
  </si>
  <si>
    <t>T107</t>
  </si>
  <si>
    <t>Session State Protection and URL tampering</t>
  </si>
  <si>
    <t>Secure sensitive page items</t>
  </si>
  <si>
    <t>T108</t>
  </si>
  <si>
    <t>Output escaping and APEX_ESCAPE</t>
  </si>
  <si>
    <t>Prevent an intentional XSS payload</t>
  </si>
  <si>
    <t>T109</t>
  </si>
  <si>
    <t>APEX_ERROR and APEX_DEBUG</t>
  </si>
  <si>
    <t>Display safe errors and capture diagnostic context</t>
  </si>
  <si>
    <t>T110</t>
  </si>
  <si>
    <t>APEX collections, JSON and web services</t>
  </si>
  <si>
    <t>Build one temporary or integration workflow</t>
  </si>
  <si>
    <t>T111</t>
  </si>
  <si>
    <t>Capstone requirements and use cases</t>
  </si>
  <si>
    <t>Write actors, workflows and acceptance criteria</t>
  </si>
  <si>
    <t>T112</t>
  </si>
  <si>
    <t>Capstone ERD and constraints</t>
  </si>
  <si>
    <t>Finalize normalized schema and integrity rules</t>
  </si>
  <si>
    <t>T113</t>
  </si>
  <si>
    <t>Package contracts and architecture</t>
  </si>
  <si>
    <t>Define public APIs before implementation</t>
  </si>
  <si>
    <t>T114</t>
  </si>
  <si>
    <t>Roles and authorization matrix</t>
  </si>
  <si>
    <t>Map each feature to an authorized role</t>
  </si>
  <si>
    <t>T115</t>
  </si>
  <si>
    <t>Repository, migrations and seed data</t>
  </si>
  <si>
    <t>Create repeatable initial deployment</t>
  </si>
  <si>
    <t>T116</t>
  </si>
  <si>
    <t>Product and inventory APIs</t>
  </si>
  <si>
    <t>Implement tested inventory operations</t>
  </si>
  <si>
    <t>T117</t>
  </si>
  <si>
    <t>Order API and status workflow</t>
  </si>
  <si>
    <t>Enforce valid order transitions</t>
  </si>
  <si>
    <t>T118</t>
  </si>
  <si>
    <t>Concurrency-safe stock reservation</t>
  </si>
  <si>
    <t>Pass a two-session last-item test</t>
  </si>
  <si>
    <t>T119</t>
  </si>
  <si>
    <t>APEX master-detail pages</t>
  </si>
  <si>
    <t>Complete product, stock and order flows</t>
  </si>
  <si>
    <t>T120</t>
  </si>
  <si>
    <t>Core package tests and error logging</t>
  </si>
  <si>
    <t>Automate happy and failure paths</t>
  </si>
  <si>
    <t>T121</t>
  </si>
  <si>
    <t>Dashboard and analytic reports</t>
  </si>
  <si>
    <t>Show inventory, sales and operational KPIs</t>
  </si>
  <si>
    <t>T122</t>
  </si>
  <si>
    <t>Bulk CSV import</t>
  </si>
  <si>
    <t>Validate and import a controlled batch</t>
  </si>
  <si>
    <t>T123</t>
  </si>
  <si>
    <t>Secure file attachments</t>
  </si>
  <si>
    <t>Upload, authorize and retrieve a file</t>
  </si>
  <si>
    <t>T124</t>
  </si>
  <si>
    <t>Scheduler, email and REST integration</t>
  </si>
  <si>
    <t>Complete one reliable automated integration</t>
  </si>
  <si>
    <t>T125</t>
  </si>
  <si>
    <t>Security and performance review</t>
  </si>
  <si>
    <t>Resolve Advisor and measured performance findings</t>
  </si>
  <si>
    <t>T126</t>
  </si>
  <si>
    <t>Final performance benchmark</t>
  </si>
  <si>
    <t>Record before-and-after evidence</t>
  </si>
  <si>
    <t>T127</t>
  </si>
  <si>
    <t>Full utPLSQL regression run</t>
  </si>
  <si>
    <t>Finish with zero unexpected failures</t>
  </si>
  <si>
    <t>T128</t>
  </si>
  <si>
    <t>APEX Advisor and debug review</t>
  </si>
  <si>
    <t>Resolve material quality and security findings</t>
  </si>
  <si>
    <t>T129</t>
  </si>
  <si>
    <t>Deployment and source export</t>
  </si>
  <si>
    <t>Install successfully into a clean environment</t>
  </si>
  <si>
    <t>T130</t>
  </si>
  <si>
    <t>Documentation and portfolio demo</t>
  </si>
  <si>
    <t>Publish ERD, README, screenshots and demo story</t>
  </si>
  <si>
    <t>Practice Log</t>
  </si>
  <si>
    <t>Add one row for every study, coding, debugging or review session. Week and hours calculate automatically.</t>
  </si>
  <si>
    <t>Date</t>
  </si>
  <si>
    <t>Session Type</t>
  </si>
  <si>
    <t>What I Did</t>
  </si>
  <si>
    <t>Minutes</t>
  </si>
  <si>
    <t>Hours</t>
  </si>
  <si>
    <t>Result</t>
  </si>
  <si>
    <t>Lesson or Blocker</t>
  </si>
  <si>
    <t>Phase Milestones</t>
  </si>
  <si>
    <t>Mark a milestone complete only when its definition of done is supported by evidence.</t>
  </si>
  <si>
    <t>Target Week</t>
  </si>
  <si>
    <t>Milestone</t>
  </si>
  <si>
    <t>Definition of Done</t>
  </si>
  <si>
    <t>Review Notes</t>
  </si>
  <si>
    <t>M1</t>
  </si>
  <si>
    <t>Normalized data model</t>
  </si>
  <si>
    <t>Inventory and orders ERD includes keys, cardinality, constraints and correct data types</t>
  </si>
  <si>
    <t>M2</t>
  </si>
  <si>
    <t>Oracle SQL foundation</t>
  </si>
  <si>
    <t>Working schema and at least 40 correct queries including joins, subqueries, transactions and analytics</t>
  </si>
  <si>
    <t>M3</t>
  </si>
  <si>
    <t>PL/SQL fundamentals module</t>
  </si>
  <si>
    <t>Procedures and functions implement a small business flow with meaningful exception handling</t>
  </si>
  <si>
    <t>M4</t>
  </si>
  <si>
    <t>Package-based business API</t>
  </si>
  <si>
    <t>Public package specification hides implementation; triggers remain focused; errors retain diagnostic context</t>
  </si>
  <si>
    <t>M5</t>
  </si>
  <si>
    <t>Enterprise PL/SQL module</t>
  </si>
  <si>
    <t>Concurrency, dynamic SQL, rights, scheduled job and one data integration are demonstrated safely</t>
  </si>
  <si>
    <t>M6</t>
  </si>
  <si>
    <t>Production-quality module</t>
  </si>
  <si>
    <t>Measured tuning, automated tests, instrumentation and repeatable source-controlled deployment are complete</t>
  </si>
  <si>
    <t>M7</t>
  </si>
  <si>
    <t>Secure APEX integration</t>
  </si>
  <si>
    <t>APEX calls packaged APIs and correctly uses session state, validation, authorization, escaping and debug</t>
  </si>
  <si>
    <t>M8</t>
  </si>
  <si>
    <t>Portfolio capstone</t>
  </si>
  <si>
    <t>Application passes tests, security and performance review and can be installed in a clean environment</t>
  </si>
  <si>
    <t>Capstone Feature Checklist</t>
  </si>
  <si>
    <t>This is the portfolio proof that converts roadmap knowledge into professional APEX and PL/SQL capability.</t>
  </si>
  <si>
    <t>Category</t>
  </si>
  <si>
    <t>Feature</t>
  </si>
  <si>
    <t>Data Model</t>
  </si>
  <si>
    <t>Products, categories and suppliers</t>
  </si>
  <si>
    <t>Normalized tables, constraints and working maintenance pages</t>
  </si>
  <si>
    <t>Warehouses and stock movements</t>
  </si>
  <si>
    <t>All stock changes are recorded as auditable movements</t>
  </si>
  <si>
    <t>Orders</t>
  </si>
  <si>
    <t>Order header and lines</t>
  </si>
  <si>
    <t>Master-detail flow calculates totals and validates line data</t>
  </si>
  <si>
    <t>Order status workflow</t>
  </si>
  <si>
    <t>Only valid state transitions are permitted by the package API</t>
  </si>
  <si>
    <t>Concurrency</t>
  </si>
  <si>
    <t>Stock reservation</t>
  </si>
  <si>
    <t>Two sessions cannot reserve the same final quantity</t>
  </si>
  <si>
    <t>Architecture</t>
  </si>
  <si>
    <t>Public package APIs</t>
  </si>
  <si>
    <t>APEX pages call product_api, inventory_api and order_api</t>
  </si>
  <si>
    <t>Errors</t>
  </si>
  <si>
    <t>Error and audit logging</t>
  </si>
  <si>
    <t>Unexpected errors retain stack and backtrace; business errors are user-safe</t>
  </si>
  <si>
    <t>Testing</t>
  </si>
  <si>
    <t>utPLSQL package tests</t>
  </si>
  <si>
    <t>Core happy paths, boundaries and expected failures are automated</t>
  </si>
  <si>
    <t>Security</t>
  </si>
  <si>
    <t>Admin, manager and user roles have verified permissions</t>
  </si>
  <si>
    <t>Session state and output security</t>
  </si>
  <si>
    <t>Sensitive items use protection and dynamic output is escaped</t>
  </si>
  <si>
    <t>Reporting</t>
  </si>
  <si>
    <t>Operational dashboard</t>
  </si>
  <si>
    <t>Shows sales, inventory, low stock and order-status KPIs</t>
  </si>
  <si>
    <t>Analytic SQL reports</t>
  </si>
  <si>
    <t>Includes ranking, running totals and period comparison</t>
  </si>
  <si>
    <t>Integration</t>
  </si>
  <si>
    <t>Rows are validated and failures are reported without corrupting good data</t>
  </si>
  <si>
    <t>Authorized upload, storage and retrieval are implemented</t>
  </si>
  <si>
    <t>Automation</t>
  </si>
  <si>
    <t>Low-stock scheduled job</t>
  </si>
  <si>
    <t>Job is observable, retry-safe and produces a notification</t>
  </si>
  <si>
    <t>REST or external web service</t>
  </si>
  <si>
    <t>One documented integration has controlled error handling</t>
  </si>
  <si>
    <t>Performance</t>
  </si>
  <si>
    <t>Measured tuning evidence</t>
  </si>
  <si>
    <t>Before-and-after plan or timing demonstrates an improvement</t>
  </si>
  <si>
    <t>Quality</t>
  </si>
  <si>
    <t>Material security, quality and performance findings are resolved</t>
  </si>
  <si>
    <t>Deployment</t>
  </si>
  <si>
    <t>Clean environment installation</t>
  </si>
  <si>
    <t>Schema and APEX application install from versioned source</t>
  </si>
  <si>
    <t>Portfolio</t>
  </si>
  <si>
    <t>README, ERD, screenshots and demo</t>
  </si>
  <si>
    <t>A reviewer can understand, install and evaluate the application</t>
  </si>
  <si>
    <t>PL/SQL Roadmap Tracker — Setup</t>
  </si>
  <si>
    <t>Edit the blue input cells. All dates, targets and dashboard metrics update automatically.</t>
  </si>
  <si>
    <t>Setting</t>
  </si>
  <si>
    <t>Value</t>
  </si>
  <si>
    <t>How it is used</t>
  </si>
  <si>
    <t>Roadmap start date</t>
  </si>
  <si>
    <t>Week 1 begins on this date</t>
  </si>
  <si>
    <t>Target hours per week</t>
  </si>
  <si>
    <t>Copied into the weekly plan</t>
  </si>
  <si>
    <t>Roadmap length (weeks)</t>
  </si>
  <si>
    <t>Used by current-week calculations</t>
  </si>
  <si>
    <t>Progress weight</t>
  </si>
  <si>
    <t>Meaning</t>
  </si>
  <si>
    <t>No meaningful work recorded</t>
  </si>
  <si>
    <t>In Progress</t>
  </si>
  <si>
    <t>Learning or practice has started</t>
  </si>
  <si>
    <t>Blocked</t>
  </si>
  <si>
    <t>Started but a blocker needs attention</t>
  </si>
  <si>
    <t>Completed</t>
  </si>
  <si>
    <t>Exit evidence is available</t>
  </si>
  <si>
    <t>Official resource</t>
  </si>
  <si>
    <t>URL</t>
  </si>
  <si>
    <t>Use</t>
  </si>
  <si>
    <t>PL/SQL Language Reference 26ai</t>
  </si>
  <si>
    <t>https://docs.oracle.com/en/database/oracle/oracle-database/26/lnpls/</t>
  </si>
  <si>
    <t>Primary language reference</t>
  </si>
  <si>
    <t>SQL Language Reference 26ai</t>
  </si>
  <si>
    <t>https://docs.oracle.com/en/database/oracle/oracle-database/26/sqlrf/</t>
  </si>
  <si>
    <t>Oracle SQL syntax and behavior</t>
  </si>
  <si>
    <t>APEX App Builder Guide 26.1</t>
  </si>
  <si>
    <t>https://docs.oracle.com/en/database/oracle/apex/26.1/htmdb/</t>
  </si>
  <si>
    <t>APEX lifecycle, session state and security</t>
  </si>
  <si>
    <t>APEX API Reference 26.1</t>
  </si>
  <si>
    <t>https://docs.oracle.com/en/database/oracle/apex/26.1/aeapi/</t>
  </si>
  <si>
    <t>APEX PL/SQL APIs</t>
  </si>
  <si>
    <t>Oracle FreeSQL</t>
  </si>
  <si>
    <t>https://www.oracle.com/database/technologies/oracle-free-sql/</t>
  </si>
  <si>
    <t>Browser-based Oracle practice</t>
  </si>
  <si>
    <t>utPLSQL</t>
  </si>
  <si>
    <t>https://www.utplsql.org/utPLSQL/latest/</t>
  </si>
  <si>
    <t>Automated PL/SQL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</si>
</sst>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Red]\-0.0"/>
  </numFmts>
  <fonts count="12">
    <font>
      <sz val="11"/>
      <name val="Carlito"/>
    </font>
    <font>
      <b/>
      <sz val="10"/>
      <color rgb="FF172033"/>
      <name val="Aptos"/>
    </font>
    <font>
      <i/>
      <sz val="10"/>
      <color rgb="FF172033"/>
      <name val="Aptos"/>
    </font>
    <font>
      <sz val="10"/>
      <color rgb="FF172033"/>
      <name val="Aptos"/>
    </font>
    <font>
      <b/>
      <sz val="20"/>
      <color rgb="FFFFFFFF"/>
      <name val="Aptos"/>
    </font>
    <font>
      <b/>
      <sz val="10"/>
      <color rgb="FFFFFFFF"/>
      <name val="Aptos"/>
    </font>
    <font>
      <b/>
      <sz val="11"/>
      <color rgb="FFFFFFFF"/>
      <name val="Aptos"/>
    </font>
    <font>
      <b/>
      <sz val="22"/>
      <color rgb="FFC74634"/>
      <name val="Aptos"/>
    </font>
    <font>
      <b/>
      <sz val="22"/>
      <color rgb="FF16A34A"/>
      <name val="Aptos"/>
    </font>
    <font>
      <b/>
      <sz val="22"/>
      <color rgb="FF2563EB"/>
      <name val="Aptos"/>
    </font>
    <font>
      <b/>
      <sz val="22"/>
      <color rgb="FFD97706"/>
      <name val="Aptos"/>
    </font>
    <font>
      <b/>
      <sz val="13"/>
      <color rgb="FFC74634"/>
      <name val="Aptos"/>
    </font>
  </fonts>
  <fills count="11">
    <fill>
      <patternFill patternType="none"/>
    </fill>
    <fill>
      <patternFill patternType="gray125"/>
    </fill>
    <fill>
      <patternFill patternType="solid">
        <fgColor rgb="FF172033"/>
      </patternFill>
    </fill>
    <fill>
      <patternFill patternType="solid">
        <fgColor rgb="FFF1F5F9"/>
      </patternFill>
    </fill>
    <fill>
      <patternFill patternType="solid">
        <fgColor rgb="FF24324A"/>
      </patternFill>
    </fill>
    <fill>
      <patternFill patternType="solid">
        <fgColor rgb="FFDBEAFE"/>
      </patternFill>
    </fill>
    <fill>
      <patternFill patternType="solid">
        <fgColor rgb="FFC74634"/>
      </patternFill>
    </fill>
    <fill>
      <patternFill patternType="solid">
        <fgColor rgb="FFFFFFFF"/>
      </patternFill>
    </fill>
    <fill>
      <patternFill patternType="solid">
        <fgColor rgb="FF16A34A"/>
      </patternFill>
    </fill>
    <fill>
      <patternFill patternType="solid">
        <fgColor rgb="FF2563EB"/>
      </patternFill>
    </fill>
    <fill>
      <patternFill patternType="solid">
        <fgColor rgb="FFD97706"/>
      </patternFill>
    </fill>
  </fills>
  <borders count="48">
    <border>
      <left/>
      <right/>
      <top/>
      <bottom/>
      <diagonal/>
    </border>
    <border>
      <left style="thin">
        <color rgb="FFD7DEE8"/>
      </left>
      <right/>
      <top style="thin">
        <color rgb="FFD7DEE8"/>
      </top>
      <bottom style="thin">
        <color rgb="FFD7DEE8"/>
      </bottom>
      <diagonal/>
    </border>
    <border>
      <left/>
      <right/>
      <top style="thin">
        <color rgb="FFD7DEE8"/>
      </top>
      <bottom style="thin">
        <color rgb="FFD7DEE8"/>
      </bottom>
      <diagonal/>
    </border>
    <border>
      <left/>
      <right style="thin">
        <color rgb="FFD7DEE8"/>
      </right>
      <top style="thin">
        <color rgb="FFD7DEE8"/>
      </top>
      <bottom style="thin">
        <color rgb="FFD7DEE8"/>
      </bottom>
      <diagonal/>
    </border>
    <border>
      <left/>
      <right/>
      <top/>
      <bottom style="thin">
        <color rgb="FFD7DEE8"/>
      </bottom>
      <diagonal/>
    </border>
    <border>
      <left style="thin">
        <color rgb="FFC74634"/>
      </left>
      <right/>
      <top style="thin">
        <color rgb="FFC74634"/>
      </top>
      <bottom style="thin">
        <color rgb="FFC74634"/>
      </bottom>
      <diagonal/>
    </border>
    <border>
      <left/>
      <right/>
      <top style="thin">
        <color rgb="FFC74634"/>
      </top>
      <bottom style="thin">
        <color rgb="FFC74634"/>
      </bottom>
      <diagonal/>
    </border>
    <border>
      <left/>
      <right style="thin">
        <color rgb="FFC74634"/>
      </right>
      <top style="thin">
        <color rgb="FFC74634"/>
      </top>
      <bottom style="thin">
        <color rgb="FFC74634"/>
      </bottom>
      <diagonal/>
    </border>
    <border>
      <left style="medium">
        <color rgb="FFC74634"/>
      </left>
      <right/>
      <top style="medium">
        <color rgb="FFC74634"/>
      </top>
      <bottom/>
      <diagonal/>
    </border>
    <border>
      <left/>
      <right/>
      <top style="medium">
        <color rgb="FFC74634"/>
      </top>
      <bottom/>
      <diagonal/>
    </border>
    <border>
      <left/>
      <right style="medium">
        <color rgb="FFC74634"/>
      </right>
      <top style="medium">
        <color rgb="FFC74634"/>
      </top>
      <bottom/>
      <diagonal/>
    </border>
    <border>
      <left style="medium">
        <color rgb="FFC74634"/>
      </left>
      <right/>
      <top/>
      <bottom style="medium">
        <color rgb="FFC74634"/>
      </bottom>
      <diagonal/>
    </border>
    <border>
      <left/>
      <right/>
      <top/>
      <bottom style="medium">
        <color rgb="FFC74634"/>
      </bottom>
      <diagonal/>
    </border>
    <border>
      <left/>
      <right style="medium">
        <color rgb="FFC74634"/>
      </right>
      <top/>
      <bottom style="medium">
        <color rgb="FFC74634"/>
      </bottom>
      <diagonal/>
    </border>
    <border>
      <left style="thin">
        <color rgb="FF16A34A"/>
      </left>
      <right/>
      <top style="thin">
        <color rgb="FF16A34A"/>
      </top>
      <bottom style="thin">
        <color rgb="FF16A34A"/>
      </bottom>
      <diagonal/>
    </border>
    <border>
      <left/>
      <right/>
      <top style="thin">
        <color rgb="FF16A34A"/>
      </top>
      <bottom style="thin">
        <color rgb="FF16A34A"/>
      </bottom>
      <diagonal/>
    </border>
    <border>
      <left/>
      <right style="thin">
        <color rgb="FF16A34A"/>
      </right>
      <top style="thin">
        <color rgb="FF16A34A"/>
      </top>
      <bottom style="thin">
        <color rgb="FF16A34A"/>
      </bottom>
      <diagonal/>
    </border>
    <border>
      <left style="medium">
        <color rgb="FF16A34A"/>
      </left>
      <right/>
      <top style="medium">
        <color rgb="FF16A34A"/>
      </top>
      <bottom/>
      <diagonal/>
    </border>
    <border>
      <left/>
      <right/>
      <top style="medium">
        <color rgb="FF16A34A"/>
      </top>
      <bottom/>
      <diagonal/>
    </border>
    <border>
      <left/>
      <right style="medium">
        <color rgb="FF16A34A"/>
      </right>
      <top style="medium">
        <color rgb="FF16A34A"/>
      </top>
      <bottom/>
      <diagonal/>
    </border>
    <border>
      <left style="medium">
        <color rgb="FF16A34A"/>
      </left>
      <right/>
      <top/>
      <bottom style="medium">
        <color rgb="FF16A34A"/>
      </bottom>
      <diagonal/>
    </border>
    <border>
      <left/>
      <right/>
      <top/>
      <bottom style="medium">
        <color rgb="FF16A34A"/>
      </bottom>
      <diagonal/>
    </border>
    <border>
      <left/>
      <right style="medium">
        <color rgb="FF16A34A"/>
      </right>
      <top/>
      <bottom style="medium">
        <color rgb="FF16A34A"/>
      </bottom>
      <diagonal/>
    </border>
    <border>
      <left style="thin">
        <color rgb="FF2563EB"/>
      </left>
      <right/>
      <top style="thin">
        <color rgb="FF2563EB"/>
      </top>
      <bottom style="thin">
        <color rgb="FF2563EB"/>
      </bottom>
      <diagonal/>
    </border>
    <border>
      <left/>
      <right/>
      <top style="thin">
        <color rgb="FF2563EB"/>
      </top>
      <bottom style="thin">
        <color rgb="FF2563EB"/>
      </bottom>
      <diagonal/>
    </border>
    <border>
      <left/>
      <right style="thin">
        <color rgb="FF2563EB"/>
      </right>
      <top style="thin">
        <color rgb="FF2563EB"/>
      </top>
      <bottom style="thin">
        <color rgb="FF2563EB"/>
      </bottom>
      <diagonal/>
    </border>
    <border>
      <left style="medium">
        <color rgb="FF2563EB"/>
      </left>
      <right/>
      <top style="medium">
        <color rgb="FF2563EB"/>
      </top>
      <bottom/>
      <diagonal/>
    </border>
    <border>
      <left/>
      <right/>
      <top style="medium">
        <color rgb="FF2563EB"/>
      </top>
      <bottom/>
      <diagonal/>
    </border>
    <border>
      <left/>
      <right style="medium">
        <color rgb="FF2563EB"/>
      </right>
      <top style="medium">
        <color rgb="FF2563EB"/>
      </top>
      <bottom/>
      <diagonal/>
    </border>
    <border>
      <left style="medium">
        <color rgb="FF2563EB"/>
      </left>
      <right/>
      <top/>
      <bottom style="medium">
        <color rgb="FF2563EB"/>
      </bottom>
      <diagonal/>
    </border>
    <border>
      <left/>
      <right/>
      <top/>
      <bottom style="medium">
        <color rgb="FF2563EB"/>
      </bottom>
      <diagonal/>
    </border>
    <border>
      <left/>
      <right style="medium">
        <color rgb="FF2563EB"/>
      </right>
      <top/>
      <bottom style="medium">
        <color rgb="FF2563EB"/>
      </bottom>
      <diagonal/>
    </border>
    <border>
      <left style="thin">
        <color rgb="FFD97706"/>
      </left>
      <right/>
      <top style="thin">
        <color rgb="FFD97706"/>
      </top>
      <bottom style="thin">
        <color rgb="FFD97706"/>
      </bottom>
      <diagonal/>
    </border>
    <border>
      <left/>
      <right/>
      <top style="thin">
        <color rgb="FFD97706"/>
      </top>
      <bottom style="thin">
        <color rgb="FFD97706"/>
      </bottom>
      <diagonal/>
    </border>
    <border>
      <left/>
      <right style="thin">
        <color rgb="FFD97706"/>
      </right>
      <top style="thin">
        <color rgb="FFD97706"/>
      </top>
      <bottom style="thin">
        <color rgb="FFD97706"/>
      </bottom>
      <diagonal/>
    </border>
    <border>
      <left style="medium">
        <color rgb="FFD97706"/>
      </left>
      <right/>
      <top style="medium">
        <color rgb="FFD97706"/>
      </top>
      <bottom/>
      <diagonal/>
    </border>
    <border>
      <left/>
      <right/>
      <top style="medium">
        <color rgb="FFD97706"/>
      </top>
      <bottom/>
      <diagonal/>
    </border>
    <border>
      <left/>
      <right style="medium">
        <color rgb="FFD97706"/>
      </right>
      <top style="medium">
        <color rgb="FFD97706"/>
      </top>
      <bottom/>
      <diagonal/>
    </border>
    <border>
      <left style="medium">
        <color rgb="FFD97706"/>
      </left>
      <right/>
      <top/>
      <bottom style="medium">
        <color rgb="FFD97706"/>
      </bottom>
      <diagonal/>
    </border>
    <border>
      <left/>
      <right/>
      <top/>
      <bottom style="medium">
        <color rgb="FFD97706"/>
      </bottom>
      <diagonal/>
    </border>
    <border>
      <left/>
      <right style="medium">
        <color rgb="FFD97706"/>
      </right>
      <top/>
      <bottom style="medium">
        <color rgb="FFD97706"/>
      </bottom>
      <diagonal/>
    </border>
    <border>
      <left style="thin">
        <color rgb="FFD7DEE8"/>
      </left>
      <right/>
      <top style="thin">
        <color rgb="FFD7DEE8"/>
      </top>
      <bottom/>
      <diagonal/>
    </border>
    <border>
      <left/>
      <right/>
      <top style="thin">
        <color rgb="FFD7DEE8"/>
      </top>
      <bottom/>
      <diagonal/>
    </border>
    <border>
      <left/>
      <right style="thin">
        <color rgb="FFD7DEE8"/>
      </right>
      <top style="thin">
        <color rgb="FFD7DEE8"/>
      </top>
      <bottom/>
      <diagonal/>
    </border>
    <border>
      <left style="thin">
        <color rgb="FFD7DEE8"/>
      </left>
      <right/>
      <top/>
      <bottom/>
      <diagonal/>
    </border>
    <border>
      <left/>
      <right style="thin">
        <color rgb="FFD7DEE8"/>
      </right>
      <top/>
      <bottom/>
      <diagonal/>
    </border>
    <border>
      <left style="thin">
        <color rgb="FFD7DEE8"/>
      </left>
      <right/>
      <top/>
      <bottom style="thin">
        <color rgb="FFD7DEE8"/>
      </bottom>
      <diagonal/>
    </border>
    <border>
      <left/>
      <right style="thin">
        <color rgb="FFD7DEE8"/>
      </right>
      <top/>
      <bottom style="thin">
        <color rgb="FFD7DEE8"/>
      </bottom>
      <diagonal/>
    </border>
  </borders>
  <cellStyleXfs count="1">
    <xf numFmtId="0" fontId="0" fillId="0" borderId="0"/>
  </cellStyleXfs>
  <cellXfs count="98">
    <xf numFmtId="0" fontId="0" fillId="0" borderId="0" xfId="0"/>
    <xf numFmtId="0" fontId="3" fillId="0" borderId="0" xfId="0" applyFont="1"/>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9" fontId="3" fillId="0" borderId="0" xfId="0" applyNumberFormat="1" applyFont="1"/>
    <xf numFmtId="0" fontId="3" fillId="0" borderId="4" xfId="0" applyFont="1" applyBorder="1"/>
    <xf numFmtId="9" fontId="3" fillId="0" borderId="4" xfId="0" applyNumberFormat="1" applyFont="1" applyBorder="1"/>
    <xf numFmtId="165" fontId="3" fillId="0" borderId="0" xfId="0" applyNumberFormat="1" applyFont="1"/>
    <xf numFmtId="165" fontId="3" fillId="0" borderId="4" xfId="0" applyNumberFormat="1" applyFont="1" applyBorder="1"/>
    <xf numFmtId="164" fontId="3" fillId="0" borderId="0" xfId="0" applyNumberFormat="1" applyFont="1"/>
    <xf numFmtId="0" fontId="3" fillId="0" borderId="0" xfId="0" applyFont="1" applyAlignment="1">
      <alignment wrapText="1"/>
    </xf>
    <xf numFmtId="165" fontId="3" fillId="0" borderId="0" xfId="0" applyNumberFormat="1" applyFont="1" applyAlignment="1">
      <alignment horizontal="center"/>
    </xf>
    <xf numFmtId="0" fontId="3" fillId="0" borderId="0" xfId="0" applyFont="1" applyAlignment="1">
      <alignment horizontal="center"/>
    </xf>
    <xf numFmtId="166" fontId="3" fillId="0" borderId="0" xfId="0" applyNumberFormat="1" applyFont="1"/>
    <xf numFmtId="1" fontId="3" fillId="0" borderId="0" xfId="0" applyNumberFormat="1" applyFont="1"/>
    <xf numFmtId="2" fontId="3" fillId="0" borderId="0" xfId="0" applyNumberFormat="1" applyFont="1"/>
    <xf numFmtId="9" fontId="3" fillId="0" borderId="0" xfId="0" applyNumberFormat="1" applyFont="1" applyAlignment="1">
      <alignment wrapText="1"/>
    </xf>
    <xf numFmtId="0" fontId="3" fillId="0" borderId="0" xfId="0" applyFont="1" applyAlignment="1">
      <alignment vertical="center"/>
    </xf>
    <xf numFmtId="0" fontId="3" fillId="0" borderId="0" xfId="0" applyFont="1" applyAlignment="1">
      <alignment vertical="center" wrapText="1"/>
    </xf>
    <xf numFmtId="164" fontId="1" fillId="5" borderId="0" xfId="0" applyNumberFormat="1" applyFont="1" applyFill="1" applyAlignment="1">
      <alignment vertical="center" wrapText="1"/>
    </xf>
    <xf numFmtId="1" fontId="1" fillId="5" borderId="0" xfId="0" applyNumberFormat="1" applyFont="1" applyFill="1" applyAlignment="1">
      <alignment vertical="center" wrapText="1"/>
    </xf>
    <xf numFmtId="0" fontId="3" fillId="0" borderId="4" xfId="0" applyFont="1" applyBorder="1" applyAlignment="1">
      <alignment vertical="center" wrapText="1"/>
    </xf>
    <xf numFmtId="1" fontId="1" fillId="5" borderId="4" xfId="0" applyNumberFormat="1" applyFont="1" applyFill="1" applyBorder="1" applyAlignment="1">
      <alignment vertical="center" wrapText="1"/>
    </xf>
    <xf numFmtId="9" fontId="3" fillId="0" borderId="0" xfId="0" applyNumberFormat="1" applyFont="1" applyAlignment="1">
      <alignment vertical="center" wrapText="1"/>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11" fillId="7" borderId="43" xfId="0" applyFont="1" applyFill="1" applyBorder="1" applyAlignment="1">
      <alignment horizontal="center" vertical="center"/>
    </xf>
    <xf numFmtId="0" fontId="11" fillId="7" borderId="45" xfId="0" applyFont="1" applyFill="1" applyBorder="1" applyAlignment="1">
      <alignment horizontal="center" vertical="center"/>
    </xf>
    <xf numFmtId="166" fontId="11" fillId="7" borderId="47" xfId="0" applyNumberFormat="1" applyFont="1" applyFill="1" applyBorder="1" applyAlignment="1">
      <alignment horizontal="center" vertical="center"/>
    </xf>
    <xf numFmtId="0" fontId="4" fillId="2" borderId="0" xfId="0" applyFont="1" applyFill="1" applyAlignment="1">
      <alignment horizontal="left" vertical="center"/>
    </xf>
    <xf numFmtId="0" fontId="2" fillId="3" borderId="0" xfId="0" applyFont="1" applyFill="1" applyAlignment="1">
      <alignment horizontal="left" vertical="center"/>
    </xf>
    <xf numFmtId="0" fontId="6" fillId="6" borderId="5" xfId="0" applyFont="1" applyFill="1" applyBorder="1" applyAlignment="1">
      <alignment horizontal="center" vertical="center"/>
    </xf>
    <xf numFmtId="0" fontId="6" fillId="6" borderId="6" xfId="0" applyFont="1" applyFill="1" applyBorder="1" applyAlignment="1">
      <alignment horizontal="center" vertical="center"/>
    </xf>
    <xf numFmtId="0" fontId="6" fillId="6" borderId="7" xfId="0" applyFont="1" applyFill="1" applyBorder="1" applyAlignment="1">
      <alignment horizontal="center" vertical="center"/>
    </xf>
    <xf numFmtId="9" fontId="7" fillId="7" borderId="8" xfId="0" applyNumberFormat="1" applyFont="1" applyFill="1" applyBorder="1" applyAlignment="1">
      <alignment horizontal="center" vertical="center"/>
    </xf>
    <xf numFmtId="9" fontId="7" fillId="7" borderId="9" xfId="0" applyNumberFormat="1" applyFont="1" applyFill="1" applyBorder="1" applyAlignment="1">
      <alignment horizontal="center" vertical="center"/>
    </xf>
    <xf numFmtId="9" fontId="7" fillId="7" borderId="10" xfId="0" applyNumberFormat="1" applyFont="1" applyFill="1" applyBorder="1" applyAlignment="1">
      <alignment horizontal="center" vertical="center"/>
    </xf>
    <xf numFmtId="9" fontId="7" fillId="7" borderId="11" xfId="0" applyNumberFormat="1" applyFont="1" applyFill="1" applyBorder="1" applyAlignment="1">
      <alignment horizontal="center" vertical="center"/>
    </xf>
    <xf numFmtId="9" fontId="7" fillId="7" borderId="12" xfId="0" applyNumberFormat="1" applyFont="1" applyFill="1" applyBorder="1" applyAlignment="1">
      <alignment horizontal="center" vertical="center"/>
    </xf>
    <xf numFmtId="9" fontId="7" fillId="7" borderId="13" xfId="0" applyNumberFormat="1" applyFont="1" applyFill="1" applyBorder="1" applyAlignment="1">
      <alignment horizontal="center" vertical="center"/>
    </xf>
    <xf numFmtId="0" fontId="6" fillId="8" borderId="14" xfId="0" applyFont="1" applyFill="1" applyBorder="1" applyAlignment="1">
      <alignment horizontal="center" vertical="center"/>
    </xf>
    <xf numFmtId="0" fontId="6" fillId="8" borderId="15" xfId="0" applyFont="1" applyFill="1" applyBorder="1" applyAlignment="1">
      <alignment horizontal="center" vertical="center"/>
    </xf>
    <xf numFmtId="0" fontId="6" fillId="8" borderId="16" xfId="0" applyFont="1" applyFill="1" applyBorder="1" applyAlignment="1">
      <alignment horizontal="center" vertical="center"/>
    </xf>
    <xf numFmtId="1" fontId="8" fillId="7" borderId="17" xfId="0" applyNumberFormat="1" applyFont="1" applyFill="1" applyBorder="1" applyAlignment="1">
      <alignment horizontal="center" vertical="center"/>
    </xf>
    <xf numFmtId="1" fontId="8" fillId="7" borderId="18" xfId="0" applyNumberFormat="1" applyFont="1" applyFill="1" applyBorder="1" applyAlignment="1">
      <alignment horizontal="center" vertical="center"/>
    </xf>
    <xf numFmtId="1" fontId="8" fillId="7" borderId="19" xfId="0" applyNumberFormat="1" applyFont="1" applyFill="1" applyBorder="1" applyAlignment="1">
      <alignment horizontal="center" vertical="center"/>
    </xf>
    <xf numFmtId="1" fontId="8" fillId="7" borderId="20" xfId="0" applyNumberFormat="1" applyFont="1" applyFill="1" applyBorder="1" applyAlignment="1">
      <alignment horizontal="center" vertical="center"/>
    </xf>
    <xf numFmtId="1" fontId="8" fillId="7" borderId="21" xfId="0" applyNumberFormat="1" applyFont="1" applyFill="1" applyBorder="1" applyAlignment="1">
      <alignment horizontal="center" vertical="center"/>
    </xf>
    <xf numFmtId="1" fontId="8" fillId="7" borderId="22" xfId="0" applyNumberFormat="1" applyFont="1" applyFill="1" applyBorder="1" applyAlignment="1">
      <alignment horizontal="center" vertical="center"/>
    </xf>
    <xf numFmtId="0" fontId="6" fillId="9" borderId="23" xfId="0" applyFont="1" applyFill="1" applyBorder="1" applyAlignment="1">
      <alignment horizontal="center" vertical="center"/>
    </xf>
    <xf numFmtId="0" fontId="6" fillId="9" borderId="24" xfId="0" applyFont="1" applyFill="1" applyBorder="1" applyAlignment="1">
      <alignment horizontal="center" vertical="center"/>
    </xf>
    <xf numFmtId="0" fontId="6" fillId="9" borderId="25" xfId="0" applyFont="1" applyFill="1" applyBorder="1" applyAlignment="1">
      <alignment horizontal="center" vertical="center"/>
    </xf>
    <xf numFmtId="165" fontId="9" fillId="7" borderId="26" xfId="0" applyNumberFormat="1" applyFont="1" applyFill="1" applyBorder="1" applyAlignment="1">
      <alignment horizontal="center" vertical="center"/>
    </xf>
    <xf numFmtId="165" fontId="9" fillId="7" borderId="27" xfId="0" applyNumberFormat="1" applyFont="1" applyFill="1" applyBorder="1" applyAlignment="1">
      <alignment horizontal="center" vertical="center"/>
    </xf>
    <xf numFmtId="165" fontId="9" fillId="7" borderId="28" xfId="0" applyNumberFormat="1" applyFont="1" applyFill="1" applyBorder="1" applyAlignment="1">
      <alignment horizontal="center" vertical="center"/>
    </xf>
    <xf numFmtId="165" fontId="9" fillId="7" borderId="29" xfId="0" applyNumberFormat="1" applyFont="1" applyFill="1" applyBorder="1" applyAlignment="1">
      <alignment horizontal="center" vertical="center"/>
    </xf>
    <xf numFmtId="165" fontId="9" fillId="7" borderId="30" xfId="0" applyNumberFormat="1" applyFont="1" applyFill="1" applyBorder="1" applyAlignment="1">
      <alignment horizontal="center" vertical="center"/>
    </xf>
    <xf numFmtId="165" fontId="9" fillId="7" borderId="31" xfId="0" applyNumberFormat="1" applyFont="1" applyFill="1" applyBorder="1" applyAlignment="1">
      <alignment horizontal="center" vertical="center"/>
    </xf>
    <xf numFmtId="0" fontId="6" fillId="10" borderId="32" xfId="0" applyFont="1" applyFill="1" applyBorder="1" applyAlignment="1">
      <alignment horizontal="center" vertical="center"/>
    </xf>
    <xf numFmtId="0" fontId="6" fillId="10" borderId="33" xfId="0" applyFont="1" applyFill="1" applyBorder="1" applyAlignment="1">
      <alignment horizontal="center" vertical="center"/>
    </xf>
    <xf numFmtId="0" fontId="6" fillId="10" borderId="34" xfId="0" applyFont="1" applyFill="1" applyBorder="1" applyAlignment="1">
      <alignment horizontal="center" vertical="center"/>
    </xf>
    <xf numFmtId="1" fontId="10" fillId="7" borderId="35" xfId="0" applyNumberFormat="1" applyFont="1" applyFill="1" applyBorder="1" applyAlignment="1">
      <alignment horizontal="center" vertical="center"/>
    </xf>
    <xf numFmtId="1" fontId="10" fillId="7" borderId="36" xfId="0" applyNumberFormat="1" applyFont="1" applyFill="1" applyBorder="1" applyAlignment="1">
      <alignment horizontal="center" vertical="center"/>
    </xf>
    <xf numFmtId="1" fontId="10" fillId="7" borderId="37" xfId="0" applyNumberFormat="1" applyFont="1" applyFill="1" applyBorder="1" applyAlignment="1">
      <alignment horizontal="center" vertical="center"/>
    </xf>
    <xf numFmtId="1" fontId="10" fillId="7" borderId="38" xfId="0" applyNumberFormat="1" applyFont="1" applyFill="1" applyBorder="1" applyAlignment="1">
      <alignment horizontal="center" vertical="center"/>
    </xf>
    <xf numFmtId="1" fontId="10" fillId="7" borderId="39" xfId="0" applyNumberFormat="1" applyFont="1" applyFill="1" applyBorder="1" applyAlignment="1">
      <alignment horizontal="center" vertical="center"/>
    </xf>
    <xf numFmtId="1" fontId="10" fillId="7" borderId="40" xfId="0" applyNumberFormat="1" applyFont="1" applyFill="1" applyBorder="1" applyAlignment="1">
      <alignment horizontal="center" vertical="center"/>
    </xf>
    <xf numFmtId="0" fontId="6" fillId="4" borderId="0" xfId="0" applyFont="1" applyFill="1" applyAlignment="1">
      <alignment horizontal="left" vertical="center"/>
    </xf>
    <xf numFmtId="0" fontId="1" fillId="3" borderId="41" xfId="0" applyFont="1" applyFill="1" applyBorder="1" applyAlignment="1">
      <alignment vertical="center"/>
    </xf>
    <xf numFmtId="0" fontId="1" fillId="3" borderId="42" xfId="0" applyFont="1" applyFill="1" applyBorder="1" applyAlignment="1">
      <alignment vertical="center"/>
    </xf>
    <xf numFmtId="0" fontId="1" fillId="3" borderId="44" xfId="0" applyFont="1" applyFill="1" applyBorder="1" applyAlignment="1">
      <alignment vertical="center"/>
    </xf>
    <xf numFmtId="0" fontId="1" fillId="3" borderId="0" xfId="0" applyFont="1" applyFill="1" applyAlignment="1">
      <alignment vertical="center"/>
    </xf>
    <xf numFmtId="0" fontId="1" fillId="3" borderId="46" xfId="0" applyFont="1" applyFill="1" applyBorder="1" applyAlignment="1">
      <alignment vertical="center"/>
    </xf>
    <xf numFmtId="0" fontId="1" fillId="3" borderId="4" xfId="0" applyFont="1" applyFill="1" applyBorder="1" applyAlignment="1">
      <alignment vertical="center"/>
    </xf>
    <xf numFmtId="0" fontId="3" fillId="7" borderId="42" xfId="0" applyFont="1" applyFill="1" applyBorder="1" applyAlignment="1">
      <alignment vertical="center" wrapText="1"/>
    </xf>
    <xf numFmtId="0" fontId="3" fillId="7" borderId="43" xfId="0" applyFont="1" applyFill="1" applyBorder="1" applyAlignment="1">
      <alignment vertical="center" wrapText="1"/>
    </xf>
    <xf numFmtId="0" fontId="3" fillId="7" borderId="0" xfId="0" applyFont="1" applyFill="1" applyAlignment="1">
      <alignment vertical="center" wrapText="1"/>
    </xf>
    <xf numFmtId="0" fontId="3" fillId="7" borderId="45" xfId="0" applyFont="1" applyFill="1" applyBorder="1" applyAlignment="1">
      <alignment vertical="center" wrapText="1"/>
    </xf>
    <xf numFmtId="0" fontId="3" fillId="7" borderId="4" xfId="0" applyFont="1" applyFill="1" applyBorder="1" applyAlignment="1">
      <alignment vertical="center" wrapText="1"/>
    </xf>
    <xf numFmtId="0" fontId="3" fillId="7" borderId="47" xfId="0" applyFont="1" applyFill="1" applyBorder="1" applyAlignment="1">
      <alignment vertical="center" wrapText="1"/>
    </xf>
    <xf numFmtId="0" fontId="6" fillId="6" borderId="0" xfId="0" applyFont="1" applyFill="1" applyAlignment="1">
      <alignment horizontal="left" vertical="center"/>
    </xf>
    <xf numFmtId="0" fontId="1" fillId="3" borderId="41" xfId="0" applyFont="1" applyFill="1" applyBorder="1" applyAlignment="1">
      <alignment vertical="center" wrapText="1"/>
    </xf>
    <xf numFmtId="0" fontId="1" fillId="3" borderId="42" xfId="0" applyFont="1" applyFill="1" applyBorder="1" applyAlignment="1">
      <alignment vertical="center" wrapText="1"/>
    </xf>
    <xf numFmtId="0" fontId="1" fillId="3" borderId="44" xfId="0" applyFont="1" applyFill="1" applyBorder="1" applyAlignment="1">
      <alignment vertical="center" wrapText="1"/>
    </xf>
    <xf numFmtId="0" fontId="1" fillId="3" borderId="0" xfId="0" applyFont="1" applyFill="1" applyAlignment="1">
      <alignment vertical="center" wrapText="1"/>
    </xf>
    <xf numFmtId="0" fontId="1" fillId="3" borderId="46" xfId="0" applyFont="1" applyFill="1" applyBorder="1" applyAlignment="1">
      <alignment vertical="center" wrapText="1"/>
    </xf>
    <xf numFmtId="0" fontId="1" fillId="3" borderId="4" xfId="0" applyFont="1" applyFill="1" applyBorder="1" applyAlignment="1">
      <alignment vertical="center" wrapText="1"/>
    </xf>
    <xf numFmtId="0" fontId="3" fillId="3" borderId="41" xfId="0" applyFont="1" applyFill="1" applyBorder="1" applyAlignment="1">
      <alignment vertical="center" wrapText="1"/>
    </xf>
    <xf numFmtId="0" fontId="3" fillId="3" borderId="42" xfId="0" applyFont="1" applyFill="1" applyBorder="1" applyAlignment="1">
      <alignment vertical="center" wrapText="1"/>
    </xf>
    <xf numFmtId="0" fontId="3" fillId="3" borderId="43" xfId="0" applyFont="1" applyFill="1" applyBorder="1" applyAlignment="1">
      <alignment vertical="center" wrapText="1"/>
    </xf>
    <xf numFmtId="0" fontId="3" fillId="3" borderId="44" xfId="0" applyFont="1" applyFill="1" applyBorder="1" applyAlignment="1">
      <alignment vertical="center" wrapText="1"/>
    </xf>
    <xf numFmtId="0" fontId="3" fillId="3" borderId="0" xfId="0" applyFont="1" applyFill="1" applyAlignment="1">
      <alignment vertical="center" wrapText="1"/>
    </xf>
    <xf numFmtId="0" fontId="3" fillId="3" borderId="45" xfId="0" applyFont="1" applyFill="1" applyBorder="1" applyAlignment="1">
      <alignment vertical="center" wrapText="1"/>
    </xf>
    <xf numFmtId="0" fontId="3" fillId="3" borderId="46" xfId="0" applyFont="1" applyFill="1" applyBorder="1" applyAlignment="1">
      <alignment vertical="center" wrapText="1"/>
    </xf>
    <xf numFmtId="0" fontId="3" fillId="3" borderId="4" xfId="0" applyFont="1" applyFill="1" applyBorder="1" applyAlignment="1">
      <alignment vertical="center" wrapText="1"/>
    </xf>
    <xf numFmtId="0" fontId="3" fillId="3" borderId="47" xfId="0" applyFont="1" applyFill="1" applyBorder="1" applyAlignment="1">
      <alignment vertical="center" wrapText="1"/>
    </xf>
  </cellXfs>
  <cellStyles count="1">
    <cellStyle name="Normal" xfId="0" builtinId="0"/>
  </cellStyles>
  <dxfs count="32">
    <dxf>
      <font>
        <b/>
        <color rgb="FF92400E"/>
      </font>
      <fill>
        <patternFill patternType="solid">
          <bgColor rgb="FFFEF3C7"/>
        </patternFill>
      </fill>
    </dxf>
    <dxf>
      <font>
        <b/>
        <color rgb="FF991B1B"/>
      </font>
      <fill>
        <patternFill patternType="solid">
          <bgColor rgb="FFFEE2E2"/>
        </patternFill>
      </fill>
    </dxf>
    <dxf>
      <font>
        <color rgb="FF64748B"/>
      </font>
      <fill>
        <patternFill patternType="solid">
          <bgColor rgb="FFF1F5F9"/>
        </patternFill>
      </fill>
    </dxf>
    <dxf>
      <font>
        <b/>
        <color rgb="FF1D4ED8"/>
      </font>
      <fill>
        <patternFill patternType="solid">
          <bgColor rgb="FFDBEAFE"/>
        </patternFill>
      </fill>
    </dxf>
    <dxf>
      <font>
        <b/>
        <color rgb="FF166534"/>
      </font>
      <fill>
        <patternFill patternType="solid">
          <bgColor rgb="FFDCFCE7"/>
        </patternFill>
      </fill>
    </dxf>
    <dxf>
      <font>
        <color rgb="FF64748B"/>
      </font>
      <fill>
        <patternFill patternType="solid">
          <bgColor rgb="FFF1F5F9"/>
        </patternFill>
      </fill>
    </dxf>
    <dxf>
      <font>
        <b/>
        <color rgb="FF991B1B"/>
      </font>
      <fill>
        <patternFill patternType="solid">
          <bgColor rgb="FFFEE2E2"/>
        </patternFill>
      </fill>
    </dxf>
    <dxf>
      <font>
        <b/>
        <color rgb="FF92400E"/>
      </font>
      <fill>
        <patternFill patternType="solid">
          <bgColor rgb="FFFEF3C7"/>
        </patternFill>
      </fill>
    </dxf>
    <dxf>
      <font>
        <b/>
        <color rgb="FF1D4ED8"/>
      </font>
      <fill>
        <patternFill patternType="solid">
          <bgColor rgb="FFDBEAFE"/>
        </patternFill>
      </fill>
    </dxf>
    <dxf>
      <font>
        <b/>
        <color rgb="FF166534"/>
      </font>
      <fill>
        <patternFill patternType="solid">
          <bgColor rgb="FFDCFCE7"/>
        </patternFill>
      </fill>
    </dxf>
    <dxf>
      <font>
        <color rgb="FF64748B"/>
      </font>
      <fill>
        <patternFill patternType="solid">
          <bgColor rgb="FFF1F5F9"/>
        </patternFill>
      </fill>
    </dxf>
    <dxf>
      <font>
        <b/>
        <color rgb="FF991B1B"/>
      </font>
      <fill>
        <patternFill patternType="solid">
          <bgColor rgb="FFFEE2E2"/>
        </patternFill>
      </fill>
    </dxf>
    <dxf>
      <font>
        <b/>
        <color rgb="FF92400E"/>
      </font>
      <fill>
        <patternFill patternType="solid">
          <bgColor rgb="FFFEF3C7"/>
        </patternFill>
      </fill>
    </dxf>
    <dxf>
      <font>
        <b/>
        <color rgb="FF1D4ED8"/>
      </font>
      <fill>
        <patternFill patternType="solid">
          <bgColor rgb="FFDBEAFE"/>
        </patternFill>
      </fill>
    </dxf>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
      <font>
        <color rgb="FF64748B"/>
      </font>
      <fill>
        <patternFill patternType="solid">
          <bgColor rgb="FFF1F5F9"/>
        </patternFill>
      </fill>
    </dxf>
    <dxf>
      <font>
        <b/>
        <color rgb="FF1D4ED8"/>
      </font>
      <fill>
        <patternFill patternType="solid">
          <bgColor rgb="FFDBEAFE"/>
        </patternFill>
      </fill>
    </dxf>
    <dxf>
      <font>
        <b/>
        <color rgb="FF166534"/>
      </font>
      <fill>
        <patternFill patternType="solid">
          <bgColor rgb="FFDCFCE7"/>
        </patternFill>
      </fill>
    </dxf>
    <dxf>
      <font>
        <b/>
        <color rgb="FF92400E"/>
      </font>
      <fill>
        <patternFill patternType="solid">
          <bgColor rgb="FFFEF3C7"/>
        </patternFill>
      </fill>
    </dxf>
    <dxf>
      <font>
        <color rgb="FF64748B"/>
      </font>
      <fill>
        <patternFill patternType="solid">
          <bgColor rgb="FFF1F5F9"/>
        </patternFill>
      </fill>
    </dxf>
    <dxf>
      <font>
        <b/>
        <color rgb="FF166534"/>
      </font>
      <fill>
        <patternFill patternType="solid">
          <bgColor rgb="FFDCFCE7"/>
        </patternFill>
      </fill>
    </dxf>
    <dxf>
      <font>
        <b/>
        <color rgb="FF991B1B"/>
      </font>
      <fill>
        <patternFill patternType="solid">
          <bgColor rgb="FFFEE2E2"/>
        </patternFill>
      </fill>
    </dxf>
    <dxf>
      <font>
        <b/>
        <color rgb="FF1D4ED8"/>
      </font>
      <fill>
        <patternFill patternType="solid">
          <bgColor rgb="FFDBEAFE"/>
        </patternFill>
      </fill>
    </dxf>
    <dxf>
      <font>
        <color rgb="FF92400E"/>
      </font>
      <fill>
        <patternFill patternType="solid">
          <bgColor rgb="FFFEF3C7"/>
        </patternFill>
      </fill>
    </dxf>
    <dxf>
      <font>
        <b/>
        <color rgb="FF9F2E22"/>
      </font>
      <fill>
        <patternFill patternType="solid">
          <bgColor rgb="FFFBE9E6"/>
        </patternFill>
      </fill>
    </dxf>
    <dxf>
      <font>
        <color rgb="FF64748B"/>
      </font>
      <fill>
        <patternFill patternType="solid">
          <bgColor rgb="FFF1F5F9"/>
        </patternFill>
      </fill>
    </dxf>
    <dxf>
      <font>
        <b/>
        <color rgb="FF991B1B"/>
      </font>
      <fill>
        <patternFill patternType="solid">
          <bgColor rgb="FFFEE2E2"/>
        </patternFill>
      </fill>
    </dxf>
    <dxf>
      <font>
        <b/>
        <color rgb="FF92400E"/>
      </font>
      <fill>
        <patternFill patternType="solid">
          <bgColor rgb="FFFEF3C7"/>
        </patternFill>
      </fill>
    </dxf>
    <dxf>
      <font>
        <b/>
        <color rgb="FF1D4ED8"/>
      </font>
      <fill>
        <patternFill patternType="solid">
          <bgColor rgb="FFDBEAFE"/>
        </patternFill>
      </fill>
    </dxf>
    <dxf>
      <font>
        <b/>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Completion by Phase</a:t>
            </a:r>
          </a:p>
        </c:rich>
      </c:tx>
      <c:overlay val="1"/>
    </c:title>
    <c:autoTitleDeleted val="0"/>
    <c:plotArea>
      <c:layout/>
      <c:barChart>
        <c:barDir val="col"/>
        <c:grouping val="clustered"/>
        <c:varyColors val="0"/>
        <c:ser>
          <c:idx val="0"/>
          <c:order val="0"/>
          <c:tx>
            <c:v>Completion</c:v>
          </c:tx>
          <c:invertIfNegative val="1"/>
          <c:cat>
            <c:strRef>
              <c:f>Dashboard!$A$16:$A$22</c:f>
              <c:strCache>
                <c:ptCount val="7"/>
                <c:pt idx="0">
                  <c:v>Oracle SQL</c:v>
                </c:pt>
                <c:pt idx="1">
                  <c:v>PL/SQL Fundamentals</c:v>
                </c:pt>
                <c:pt idx="2">
                  <c:v>Intermediate PL/SQL</c:v>
                </c:pt>
                <c:pt idx="3">
                  <c:v>Enterprise PL/SQL</c:v>
                </c:pt>
                <c:pt idx="4">
                  <c:v>Production PL/SQL</c:v>
                </c:pt>
                <c:pt idx="5">
                  <c:v>APEX Integration</c:v>
                </c:pt>
                <c:pt idx="6">
                  <c:v>Capstone</c:v>
                </c:pt>
              </c:strCache>
            </c:strRef>
          </c:cat>
          <c:val>
            <c:numRef>
              <c:f>Dashboard!$B$16:$B$22</c:f>
              <c:numCache>
                <c:formatCode>0%</c:formatCode>
                <c:ptCount val="7"/>
                <c:pt idx="0">
                  <c:v>5.0000000000000001E-3</c:v>
                </c:pt>
                <c:pt idx="1">
                  <c:v>0</c:v>
                </c:pt>
                <c:pt idx="2">
                  <c:v>0</c:v>
                </c:pt>
                <c:pt idx="3">
                  <c:v>0</c:v>
                </c:pt>
                <c:pt idx="4">
                  <c:v>0</c:v>
                </c:pt>
                <c:pt idx="5">
                  <c:v>0</c:v>
                </c:pt>
                <c:pt idx="6">
                  <c:v>0</c:v>
                </c:pt>
              </c:numCache>
            </c:numRef>
          </c:val>
          <c:extLst>
            <c:ext xmlns:c16="http://schemas.microsoft.com/office/drawing/2014/chart" uri="{C3380CC4-5D6E-409C-BE32-E72D297353CC}">
              <c16:uniqueId val="{00000000-5D66-7848-8DF7-B897DCD5860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pPr>
            <a:endParaRPr lang="en-AE"/>
          </a:p>
        </c:txPr>
        <c:crossAx val="48672768"/>
        <c:crosses val="autoZero"/>
        <c:auto val="1"/>
        <c:lblAlgn val="ctr"/>
        <c:lblOffset val="100"/>
        <c:noMultiLvlLbl val="0"/>
      </c:catAx>
      <c:valAx>
        <c:axId val="48672768"/>
        <c:scaling>
          <c:orientation val="minMax"/>
          <c:max val="1"/>
          <c:min val="0"/>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Planned vs. Logged Hours by Week</a:t>
            </a:r>
          </a:p>
        </c:rich>
      </c:tx>
      <c:overlay val="1"/>
    </c:title>
    <c:autoTitleDeleted val="0"/>
    <c:plotArea>
      <c:layout/>
      <c:lineChart>
        <c:grouping val="standard"/>
        <c:varyColors val="1"/>
        <c:ser>
          <c:idx val="0"/>
          <c:order val="0"/>
          <c:tx>
            <c:v>Planned Hours</c:v>
          </c:tx>
          <c:marker>
            <c:symbol val="none"/>
          </c:marker>
          <c:cat>
            <c:numRef>
              <c:f>Dashboard!$A$27:$A$52</c:f>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numCache>
            </c:numRef>
          </c:cat>
          <c:val>
            <c:numRef>
              <c:f>Dashboard!$B$27:$B$52</c:f>
              <c:numCache>
                <c:formatCode>0.0</c:formatCode>
                <c:ptCount val="26"/>
                <c:pt idx="0">
                  <c:v>8</c:v>
                </c:pt>
                <c:pt idx="1">
                  <c:v>8</c:v>
                </c:pt>
                <c:pt idx="2">
                  <c:v>8</c:v>
                </c:pt>
                <c:pt idx="3">
                  <c:v>8</c:v>
                </c:pt>
                <c:pt idx="4">
                  <c:v>8</c:v>
                </c:pt>
                <c:pt idx="5">
                  <c:v>8</c:v>
                </c:pt>
                <c:pt idx="6">
                  <c:v>8</c:v>
                </c:pt>
                <c:pt idx="7">
                  <c:v>8</c:v>
                </c:pt>
                <c:pt idx="8">
                  <c:v>8</c:v>
                </c:pt>
                <c:pt idx="9">
                  <c:v>8</c:v>
                </c:pt>
                <c:pt idx="10">
                  <c:v>8</c:v>
                </c:pt>
                <c:pt idx="11">
                  <c:v>8</c:v>
                </c:pt>
                <c:pt idx="12">
                  <c:v>8</c:v>
                </c:pt>
                <c:pt idx="13">
                  <c:v>8</c:v>
                </c:pt>
                <c:pt idx="14">
                  <c:v>8</c:v>
                </c:pt>
                <c:pt idx="15">
                  <c:v>8</c:v>
                </c:pt>
                <c:pt idx="16">
                  <c:v>8</c:v>
                </c:pt>
                <c:pt idx="17">
                  <c:v>8</c:v>
                </c:pt>
                <c:pt idx="18">
                  <c:v>8</c:v>
                </c:pt>
                <c:pt idx="19">
                  <c:v>8</c:v>
                </c:pt>
                <c:pt idx="20">
                  <c:v>8</c:v>
                </c:pt>
                <c:pt idx="21">
                  <c:v>8</c:v>
                </c:pt>
                <c:pt idx="22">
                  <c:v>8</c:v>
                </c:pt>
                <c:pt idx="23">
                  <c:v>8</c:v>
                </c:pt>
                <c:pt idx="24">
                  <c:v>8</c:v>
                </c:pt>
                <c:pt idx="25">
                  <c:v>8</c:v>
                </c:pt>
              </c:numCache>
            </c:numRef>
          </c:val>
          <c:smooth val="1"/>
          <c:extLst>
            <c:ext xmlns:c16="http://schemas.microsoft.com/office/drawing/2014/chart" uri="{C3380CC4-5D6E-409C-BE32-E72D297353CC}">
              <c16:uniqueId val="{00000000-F3E3-ED44-968A-1D87B55B3AFA}"/>
            </c:ext>
          </c:extLst>
        </c:ser>
        <c:ser>
          <c:idx val="1"/>
          <c:order val="1"/>
          <c:tx>
            <c:v>Logged Hours</c:v>
          </c:tx>
          <c:marker>
            <c:symbol val="none"/>
          </c:marker>
          <c:cat>
            <c:numRef>
              <c:f>Dashboard!$A$27:$A$52</c:f>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numCache>
            </c:numRef>
          </c:cat>
          <c:val>
            <c:numRef>
              <c:f>Dashboard!$C$27:$C$52</c:f>
              <c:numCache>
                <c:formatCode>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1"/>
          <c:extLst>
            <c:ext xmlns:c16="http://schemas.microsoft.com/office/drawing/2014/chart" uri="{C3380CC4-5D6E-409C-BE32-E72D297353CC}">
              <c16:uniqueId val="{00000001-F3E3-ED44-968A-1D87B55B3AFA}"/>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00"/>
            </a:pPr>
            <a:endParaRPr lang="en-AE"/>
          </a:p>
        </c:txPr>
        <c:crossAx val="48672768"/>
        <c:crosses val="autoZero"/>
        <c:auto val="1"/>
        <c:lblAlgn val="ctr"/>
        <c:lblOffset val="100"/>
        <c:noMultiLvlLbl val="0"/>
      </c:catAx>
      <c:valAx>
        <c:axId val="48672768"/>
        <c:scaling>
          <c:orientation val="minMax"/>
          <c:min val="0"/>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14</xdr:row>
      <xdr:rowOff>0</xdr:rowOff>
    </xdr:from>
    <xdr:to>
      <xdr:col>12</xdr:col>
      <xdr:colOff>0</xdr:colOff>
      <xdr:row>29</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31</xdr:row>
      <xdr:rowOff>0</xdr:rowOff>
    </xdr:from>
    <xdr:to>
      <xdr:col>12</xdr:col>
      <xdr:colOff>0</xdr:colOff>
      <xdr:row>51</xdr:row>
      <xdr:rowOff>0</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eeklyTrackerTable" displayName="WeeklyTrackerTable" ref="A4:L30" totalsRowShown="0">
  <tableColumns count="12">
    <tableColumn id="1" xr3:uid="{00000000-0010-0000-0000-000001000000}" name="Week"/>
    <tableColumn id="2" xr3:uid="{00000000-0010-0000-0000-000002000000}" name="Start"/>
    <tableColumn id="3" xr3:uid="{00000000-0010-0000-0000-000003000000}" name="End"/>
    <tableColumn id="4" xr3:uid="{00000000-0010-0000-0000-000004000000}" name="Phase"/>
    <tableColumn id="5" xr3:uid="{00000000-0010-0000-0000-000005000000}" name="Weekly Focus"/>
    <tableColumn id="6" xr3:uid="{00000000-0010-0000-0000-000006000000}" name="Exit Deliverable"/>
    <tableColumn id="7" xr3:uid="{00000000-0010-0000-0000-000007000000}" name="Planned Hours"/>
    <tableColumn id="8" xr3:uid="{00000000-0010-0000-0000-000008000000}" name="Actual Hours"/>
    <tableColumn id="9" xr3:uid="{00000000-0010-0000-0000-000009000000}" name="Status"/>
    <tableColumn id="10" xr3:uid="{00000000-0010-0000-0000-00000A000000}" name="Topic Completion"/>
    <tableColumn id="11" xr3:uid="{00000000-0010-0000-0000-00000B000000}" name="Hours Variance"/>
    <tableColumn id="12" xr3:uid="{00000000-0010-0000-0000-00000C000000}" name="Weekly Review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opicChecklistTable" displayName="TopicChecklistTable" ref="A4:K134" totalsRowShown="0">
  <tableColumns count="11">
    <tableColumn id="1" xr3:uid="{00000000-0010-0000-0100-000001000000}" name="ID"/>
    <tableColumn id="2" xr3:uid="{00000000-0010-0000-0100-000002000000}" name="Week"/>
    <tableColumn id="3" xr3:uid="{00000000-0010-0000-0100-000003000000}" name="Phase"/>
    <tableColumn id="4" xr3:uid="{00000000-0010-0000-0100-000004000000}" name="Topic"/>
    <tableColumn id="5" xr3:uid="{00000000-0010-0000-0100-000005000000}" name="Practical Evidence"/>
    <tableColumn id="6" xr3:uid="{00000000-0010-0000-0100-000006000000}" name="Priority"/>
    <tableColumn id="7" xr3:uid="{00000000-0010-0000-0100-000007000000}" name="Status"/>
    <tableColumn id="8" xr3:uid="{00000000-0010-0000-0100-000008000000}" name="Evidence / Link"/>
    <tableColumn id="9" xr3:uid="{00000000-0010-0000-0100-000009000000}" name="Completion"/>
    <tableColumn id="10" xr3:uid="{00000000-0010-0000-0100-00000A000000}" name="Due Date"/>
    <tableColumn id="11" xr3:uid="{00000000-0010-0000-0100-00000B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acticeLogTable" displayName="PracticeLogTable" ref="A4:J204" totalsRowShown="0">
  <tableColumns count="10">
    <tableColumn id="1" xr3:uid="{00000000-0010-0000-0200-000001000000}" name="Date"/>
    <tableColumn id="2" xr3:uid="{00000000-0010-0000-0200-000002000000}" name="Week"/>
    <tableColumn id="3" xr3:uid="{00000000-0010-0000-0200-000003000000}" name="Session Type"/>
    <tableColumn id="4" xr3:uid="{00000000-0010-0000-0200-000004000000}" name="Topic"/>
    <tableColumn id="5" xr3:uid="{00000000-0010-0000-0200-000005000000}" name="What I Did"/>
    <tableColumn id="6" xr3:uid="{00000000-0010-0000-0200-000006000000}" name="Minutes"/>
    <tableColumn id="7" xr3:uid="{00000000-0010-0000-0200-000007000000}" name="Hours"/>
    <tableColumn id="8" xr3:uid="{00000000-0010-0000-0200-000008000000}" name="Result"/>
    <tableColumn id="9" xr3:uid="{00000000-0010-0000-0200-000009000000}" name="Evidence / Link"/>
    <tableColumn id="10" xr3:uid="{00000000-0010-0000-0200-00000A000000}" name="Lesson or Block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ilestoneTable" displayName="MilestoneTable" ref="A4:H12" totalsRowShown="0">
  <tableColumns count="8">
    <tableColumn id="1" xr3:uid="{00000000-0010-0000-0300-000001000000}" name="ID"/>
    <tableColumn id="2" xr3:uid="{00000000-0010-0000-0300-000002000000}" name="Target Week"/>
    <tableColumn id="3" xr3:uid="{00000000-0010-0000-0300-000003000000}" name="Milestone"/>
    <tableColumn id="4" xr3:uid="{00000000-0010-0000-0300-000004000000}" name="Definition of Done"/>
    <tableColumn id="5" xr3:uid="{00000000-0010-0000-0300-000005000000}" name="Status"/>
    <tableColumn id="6" xr3:uid="{00000000-0010-0000-0300-000006000000}" name="Completion"/>
    <tableColumn id="7" xr3:uid="{00000000-0010-0000-0300-000007000000}" name="Evidence / Link"/>
    <tableColumn id="8" xr3:uid="{00000000-0010-0000-0300-000008000000}" name="Review 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apstoneTable" displayName="CapstoneTable" ref="A4:H24" totalsRowShown="0">
  <tableColumns count="8">
    <tableColumn id="1" xr3:uid="{00000000-0010-0000-0400-000001000000}" name="Category"/>
    <tableColumn id="2" xr3:uid="{00000000-0010-0000-0400-000002000000}" name="Feature"/>
    <tableColumn id="3" xr3:uid="{00000000-0010-0000-0400-000003000000}" name="Target Week"/>
    <tableColumn id="4" xr3:uid="{00000000-0010-0000-0400-000004000000}" name="Definition of Done"/>
    <tableColumn id="5" xr3:uid="{00000000-0010-0000-0400-000005000000}" name="Status"/>
    <tableColumn id="6" xr3:uid="{00000000-0010-0000-0400-000006000000}" name="Completion"/>
    <tableColumn id="7" xr3:uid="{00000000-0010-0000-0400-000007000000}" name="Evidence / Link"/>
    <tableColumn id="8" xr3:uid="{00000000-0010-0000-0400-000008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8"/>
  <sheetViews>
    <sheetView showGridLines="0" tabSelected="1" topLeftCell="A2" workbookViewId="0">
      <selection activeCell="H13" sqref="H13"/>
    </sheetView>
  </sheetViews>
  <sheetFormatPr baseColWidth="10" defaultColWidth="8.83203125" defaultRowHeight="15"/>
  <cols>
    <col min="1" max="1" width="19" customWidth="1"/>
    <col min="2" max="4" width="14" customWidth="1"/>
    <col min="5" max="5" width="5" customWidth="1"/>
    <col min="6" max="9" width="14" customWidth="1"/>
    <col min="10" max="11" width="17" customWidth="1"/>
    <col min="12" max="12" width="14" customWidth="1"/>
  </cols>
  <sheetData>
    <row r="1" spans="1:12" ht="30" customHeight="1">
      <c r="A1" s="31" t="s">
        <v>0</v>
      </c>
      <c r="B1" s="31" t="s">
        <v>0</v>
      </c>
      <c r="C1" s="31" t="s">
        <v>0</v>
      </c>
      <c r="D1" s="31" t="s">
        <v>0</v>
      </c>
      <c r="E1" s="31" t="s">
        <v>0</v>
      </c>
      <c r="F1" s="31" t="s">
        <v>0</v>
      </c>
      <c r="G1" s="31" t="s">
        <v>0</v>
      </c>
      <c r="H1" s="31" t="s">
        <v>0</v>
      </c>
      <c r="I1" s="31" t="s">
        <v>0</v>
      </c>
      <c r="J1" s="31" t="s">
        <v>0</v>
      </c>
      <c r="K1" s="31" t="s">
        <v>0</v>
      </c>
      <c r="L1" s="31" t="s">
        <v>0</v>
      </c>
    </row>
    <row r="2" spans="1:12" ht="30" customHeight="1">
      <c r="A2" s="31" t="s">
        <v>0</v>
      </c>
      <c r="B2" s="31" t="s">
        <v>0</v>
      </c>
      <c r="C2" s="31" t="s">
        <v>0</v>
      </c>
      <c r="D2" s="31" t="s">
        <v>0</v>
      </c>
      <c r="E2" s="31" t="s">
        <v>0</v>
      </c>
      <c r="F2" s="31" t="s">
        <v>0</v>
      </c>
      <c r="G2" s="31" t="s">
        <v>0</v>
      </c>
      <c r="H2" s="31" t="s">
        <v>0</v>
      </c>
      <c r="I2" s="31" t="s">
        <v>0</v>
      </c>
      <c r="J2" s="31" t="s">
        <v>0</v>
      </c>
      <c r="K2" s="31" t="s">
        <v>0</v>
      </c>
      <c r="L2" s="31" t="s">
        <v>0</v>
      </c>
    </row>
    <row r="3" spans="1:12" ht="22" customHeight="1">
      <c r="A3" s="32" t="s">
        <v>1</v>
      </c>
      <c r="B3" s="32" t="s">
        <v>1</v>
      </c>
      <c r="C3" s="32" t="s">
        <v>1</v>
      </c>
      <c r="D3" s="32" t="s">
        <v>1</v>
      </c>
      <c r="E3" s="32" t="s">
        <v>1</v>
      </c>
      <c r="F3" s="32" t="s">
        <v>1</v>
      </c>
      <c r="G3" s="32" t="s">
        <v>1</v>
      </c>
      <c r="H3" s="32" t="s">
        <v>1</v>
      </c>
      <c r="I3" s="32" t="s">
        <v>1</v>
      </c>
      <c r="J3" s="32" t="s">
        <v>1</v>
      </c>
      <c r="K3" s="32" t="s">
        <v>1</v>
      </c>
      <c r="L3" s="32" t="s">
        <v>1</v>
      </c>
    </row>
    <row r="4" spans="1:12">
      <c r="A4" s="1"/>
      <c r="B4" s="1"/>
      <c r="C4" s="1"/>
      <c r="D4" s="1"/>
      <c r="E4" s="1"/>
      <c r="F4" s="1"/>
      <c r="G4" s="1"/>
      <c r="H4" s="1"/>
      <c r="I4" s="1"/>
      <c r="J4" s="1"/>
      <c r="K4" s="1"/>
      <c r="L4" s="1"/>
    </row>
    <row r="5" spans="1:12">
      <c r="A5" s="33" t="s">
        <v>2</v>
      </c>
      <c r="B5" s="34" t="s">
        <v>2</v>
      </c>
      <c r="C5" s="35" t="s">
        <v>2</v>
      </c>
      <c r="D5" s="42" t="s">
        <v>3</v>
      </c>
      <c r="E5" s="43" t="s">
        <v>3</v>
      </c>
      <c r="F5" s="44" t="s">
        <v>3</v>
      </c>
      <c r="G5" s="51" t="s">
        <v>4</v>
      </c>
      <c r="H5" s="52" t="s">
        <v>4</v>
      </c>
      <c r="I5" s="53" t="s">
        <v>4</v>
      </c>
      <c r="J5" s="60" t="s">
        <v>5</v>
      </c>
      <c r="K5" s="61" t="s">
        <v>5</v>
      </c>
      <c r="L5" s="62" t="s">
        <v>5</v>
      </c>
    </row>
    <row r="6" spans="1:12">
      <c r="A6" s="36">
        <f>AVERAGE('Topic Checklist'!$I$5:$I$134)</f>
        <v>7.6923076923076923E-4</v>
      </c>
      <c r="B6" s="37"/>
      <c r="C6" s="38"/>
      <c r="D6" s="45">
        <f>COUNTIF('Topic Checklist'!$G$5:$G$134,"Completed")</f>
        <v>0</v>
      </c>
      <c r="E6" s="46"/>
      <c r="F6" s="47"/>
      <c r="G6" s="54">
        <f>SUM('Practice Log'!$G$5:$G$204)</f>
        <v>0</v>
      </c>
      <c r="H6" s="55"/>
      <c r="I6" s="56"/>
      <c r="J6" s="63">
        <f ca="1">MIN(Setup!$B$8,MAX(1,INT((TODAY()-Setup!$B$6)/7)+1))</f>
        <v>1</v>
      </c>
      <c r="K6" s="64"/>
      <c r="L6" s="65"/>
    </row>
    <row r="7" spans="1:12">
      <c r="A7" s="39"/>
      <c r="B7" s="40"/>
      <c r="C7" s="41"/>
      <c r="D7" s="48"/>
      <c r="E7" s="49"/>
      <c r="F7" s="50"/>
      <c r="G7" s="57"/>
      <c r="H7" s="58"/>
      <c r="I7" s="59"/>
      <c r="J7" s="66"/>
      <c r="K7" s="67"/>
      <c r="L7" s="68"/>
    </row>
    <row r="8" spans="1:12">
      <c r="A8" s="1"/>
      <c r="B8" s="1"/>
      <c r="C8" s="1"/>
      <c r="D8" s="1"/>
      <c r="E8" s="1"/>
      <c r="F8" s="1"/>
      <c r="G8" s="1"/>
      <c r="H8" s="1"/>
      <c r="I8" s="1"/>
      <c r="J8" s="1"/>
      <c r="K8" s="1"/>
      <c r="L8" s="1"/>
    </row>
    <row r="9" spans="1:12">
      <c r="A9" s="69" t="s">
        <v>6</v>
      </c>
      <c r="B9" s="69" t="s">
        <v>6</v>
      </c>
      <c r="C9" s="69" t="s">
        <v>6</v>
      </c>
      <c r="D9" s="69" t="s">
        <v>6</v>
      </c>
      <c r="E9" s="69" t="s">
        <v>6</v>
      </c>
      <c r="F9" s="69" t="s">
        <v>6</v>
      </c>
      <c r="G9" s="69" t="s">
        <v>6</v>
      </c>
      <c r="H9" s="69" t="s">
        <v>6</v>
      </c>
      <c r="I9" s="1"/>
      <c r="J9" s="82" t="s">
        <v>7</v>
      </c>
      <c r="K9" s="82" t="s">
        <v>7</v>
      </c>
      <c r="L9" s="82" t="s">
        <v>7</v>
      </c>
    </row>
    <row r="10" spans="1:12" ht="28" customHeight="1">
      <c r="A10" s="70" t="s">
        <v>8</v>
      </c>
      <c r="B10" s="71"/>
      <c r="C10" s="76" t="str">
        <f ca="1">INDEX('Weekly Tracker'!$D$5:$D$30,$J$6)</f>
        <v>Oracle SQL</v>
      </c>
      <c r="D10" s="76"/>
      <c r="E10" s="76"/>
      <c r="F10" s="76"/>
      <c r="G10" s="76"/>
      <c r="H10" s="77"/>
      <c r="I10" s="1"/>
      <c r="J10" s="83" t="s">
        <v>9</v>
      </c>
      <c r="K10" s="84"/>
      <c r="L10" s="28">
        <f ca="1">COUNTIFS('Topic Checklist'!$G$5:$G$134,"&lt;&gt;Completed",'Topic Checklist'!$J$5:$J$134,"&lt;"&amp;TODAY())</f>
        <v>0</v>
      </c>
    </row>
    <row r="11" spans="1:12" ht="28" customHeight="1">
      <c r="A11" s="72" t="s">
        <v>10</v>
      </c>
      <c r="B11" s="73"/>
      <c r="C11" s="78" t="str">
        <f ca="1">INDEX('Weekly Tracker'!$E$5:$E$30,$J$6)</f>
        <v>Relational design and Oracle data types</v>
      </c>
      <c r="D11" s="78"/>
      <c r="E11" s="78"/>
      <c r="F11" s="78"/>
      <c r="G11" s="78"/>
      <c r="H11" s="79"/>
      <c r="I11" s="1"/>
      <c r="J11" s="85" t="s">
        <v>11</v>
      </c>
      <c r="K11" s="86"/>
      <c r="L11" s="29">
        <f>COUNTIF('Topic Checklist'!$G$5:$G$134,"Blocked")</f>
        <v>0</v>
      </c>
    </row>
    <row r="12" spans="1:12" ht="28" customHeight="1">
      <c r="A12" s="74" t="s">
        <v>12</v>
      </c>
      <c r="B12" s="75"/>
      <c r="C12" s="80" t="str">
        <f ca="1">INDEX('Weekly Tracker'!$F$5:$F$30,$J$6)</f>
        <v>Inventory ERD and normalized table plan</v>
      </c>
      <c r="D12" s="80"/>
      <c r="E12" s="80"/>
      <c r="F12" s="80"/>
      <c r="G12" s="80"/>
      <c r="H12" s="81"/>
      <c r="I12" s="1"/>
      <c r="J12" s="87" t="s">
        <v>13</v>
      </c>
      <c r="K12" s="88"/>
      <c r="L12" s="30">
        <f ca="1">INDEX('Weekly Tracker'!$K$5:$K$30,$J$6)</f>
        <v>-8</v>
      </c>
    </row>
    <row r="13" spans="1:12">
      <c r="A13" s="1"/>
      <c r="B13" s="1"/>
      <c r="C13" s="1"/>
      <c r="D13" s="1"/>
      <c r="E13" s="1"/>
      <c r="F13" s="1"/>
      <c r="G13" s="1"/>
      <c r="H13" s="1"/>
      <c r="I13" s="1"/>
      <c r="J13" s="1"/>
      <c r="K13" s="1"/>
      <c r="L13" s="1"/>
    </row>
    <row r="14" spans="1:12">
      <c r="A14" s="1"/>
      <c r="B14" s="1"/>
      <c r="C14" s="1"/>
      <c r="D14" s="1"/>
      <c r="E14" s="1"/>
      <c r="F14" s="1"/>
      <c r="G14" s="1"/>
      <c r="H14" s="1"/>
      <c r="I14" s="1"/>
      <c r="J14" s="1"/>
      <c r="K14" s="1"/>
      <c r="L14" s="1"/>
    </row>
    <row r="15" spans="1:12">
      <c r="A15" s="25" t="s">
        <v>8</v>
      </c>
      <c r="B15" s="26" t="s">
        <v>14</v>
      </c>
      <c r="C15" s="26" t="s">
        <v>15</v>
      </c>
      <c r="D15" s="27" t="s">
        <v>16</v>
      </c>
      <c r="E15" s="1"/>
      <c r="F15" s="1"/>
      <c r="G15" s="1"/>
      <c r="H15" s="1"/>
      <c r="I15" s="1"/>
      <c r="J15" s="1"/>
      <c r="K15" s="1"/>
      <c r="L15" s="1"/>
    </row>
    <row r="16" spans="1:12">
      <c r="A16" s="1" t="s">
        <v>17</v>
      </c>
      <c r="B16" s="5">
        <f>IFERROR(AVERAGEIF('Topic Checklist'!$C$5:$C$134,A16,'Topic Checklist'!$I$5:$I$134),0)</f>
        <v>5.0000000000000001E-3</v>
      </c>
      <c r="C16" s="1">
        <f>COUNTIFS('Topic Checklist'!$C$5:$C$134,A16,'Topic Checklist'!$G$5:$G$134,"Completed")</f>
        <v>0</v>
      </c>
      <c r="D16" s="1">
        <f>COUNTIF('Topic Checklist'!$C$5:$C$134,A16)</f>
        <v>20</v>
      </c>
      <c r="E16" s="1"/>
      <c r="F16" s="1"/>
      <c r="G16" s="1"/>
      <c r="H16" s="1"/>
      <c r="I16" s="1"/>
      <c r="J16" s="1"/>
      <c r="K16" s="1"/>
      <c r="L16" s="1"/>
    </row>
    <row r="17" spans="1:12">
      <c r="A17" s="1" t="s">
        <v>18</v>
      </c>
      <c r="B17" s="5">
        <f>IFERROR(AVERAGEIF('Topic Checklist'!$C$5:$C$134,A17,'Topic Checklist'!$I$5:$I$134),0)</f>
        <v>0</v>
      </c>
      <c r="C17" s="1">
        <f>COUNTIFS('Topic Checklist'!$C$5:$C$134,A17,'Topic Checklist'!$G$5:$G$134,"Completed")</f>
        <v>0</v>
      </c>
      <c r="D17" s="1">
        <f>COUNTIF('Topic Checklist'!$C$5:$C$134,A17)</f>
        <v>20</v>
      </c>
      <c r="E17" s="1"/>
      <c r="F17" s="1"/>
      <c r="G17" s="1"/>
      <c r="H17" s="1"/>
      <c r="I17" s="1"/>
      <c r="J17" s="1"/>
      <c r="K17" s="1"/>
      <c r="L17" s="1"/>
    </row>
    <row r="18" spans="1:12">
      <c r="A18" s="1" t="s">
        <v>19</v>
      </c>
      <c r="B18" s="5">
        <f>IFERROR(AVERAGEIF('Topic Checklist'!$C$5:$C$134,A18,'Topic Checklist'!$I$5:$I$134),0)</f>
        <v>0</v>
      </c>
      <c r="C18" s="1">
        <f>COUNTIFS('Topic Checklist'!$C$5:$C$134,A18,'Topic Checklist'!$G$5:$G$134,"Completed")</f>
        <v>0</v>
      </c>
      <c r="D18" s="1">
        <f>COUNTIF('Topic Checklist'!$C$5:$C$134,A18)</f>
        <v>20</v>
      </c>
      <c r="E18" s="1"/>
      <c r="F18" s="1"/>
      <c r="G18" s="1"/>
      <c r="H18" s="1"/>
      <c r="I18" s="1"/>
      <c r="J18" s="1"/>
      <c r="K18" s="1"/>
      <c r="L18" s="1"/>
    </row>
    <row r="19" spans="1:12">
      <c r="A19" s="1" t="s">
        <v>20</v>
      </c>
      <c r="B19" s="5">
        <f>IFERROR(AVERAGEIF('Topic Checklist'!$C$5:$C$134,A19,'Topic Checklist'!$I$5:$I$134),0)</f>
        <v>0</v>
      </c>
      <c r="C19" s="1">
        <f>COUNTIFS('Topic Checklist'!$C$5:$C$134,A19,'Topic Checklist'!$G$5:$G$134,"Completed")</f>
        <v>0</v>
      </c>
      <c r="D19" s="1">
        <f>COUNTIF('Topic Checklist'!$C$5:$C$134,A19)</f>
        <v>20</v>
      </c>
      <c r="E19" s="1"/>
      <c r="F19" s="1"/>
      <c r="G19" s="1"/>
      <c r="H19" s="1"/>
      <c r="I19" s="1"/>
      <c r="J19" s="1"/>
      <c r="K19" s="1"/>
      <c r="L19" s="1"/>
    </row>
    <row r="20" spans="1:12">
      <c r="A20" s="1" t="s">
        <v>21</v>
      </c>
      <c r="B20" s="5">
        <f>IFERROR(AVERAGEIF('Topic Checklist'!$C$5:$C$134,A20,'Topic Checklist'!$I$5:$I$134),0)</f>
        <v>0</v>
      </c>
      <c r="C20" s="1">
        <f>COUNTIFS('Topic Checklist'!$C$5:$C$134,A20,'Topic Checklist'!$G$5:$G$134,"Completed")</f>
        <v>0</v>
      </c>
      <c r="D20" s="1">
        <f>COUNTIF('Topic Checklist'!$C$5:$C$134,A20)</f>
        <v>20</v>
      </c>
      <c r="E20" s="1"/>
      <c r="F20" s="1"/>
      <c r="G20" s="1"/>
      <c r="H20" s="1"/>
      <c r="I20" s="1"/>
      <c r="J20" s="1"/>
      <c r="K20" s="1"/>
      <c r="L20" s="1"/>
    </row>
    <row r="21" spans="1:12">
      <c r="A21" s="1" t="s">
        <v>22</v>
      </c>
      <c r="B21" s="5">
        <f>IFERROR(AVERAGEIF('Topic Checklist'!$C$5:$C$134,A21,'Topic Checklist'!$I$5:$I$134),0)</f>
        <v>0</v>
      </c>
      <c r="C21" s="1">
        <f>COUNTIFS('Topic Checklist'!$C$5:$C$134,A21,'Topic Checklist'!$G$5:$G$134,"Completed")</f>
        <v>0</v>
      </c>
      <c r="D21" s="1">
        <f>COUNTIF('Topic Checklist'!$C$5:$C$134,A21)</f>
        <v>10</v>
      </c>
      <c r="E21" s="1"/>
      <c r="F21" s="1"/>
      <c r="G21" s="1"/>
      <c r="H21" s="1"/>
      <c r="I21" s="1"/>
      <c r="J21" s="1"/>
      <c r="K21" s="1"/>
      <c r="L21" s="1"/>
    </row>
    <row r="22" spans="1:12">
      <c r="A22" s="6" t="s">
        <v>23</v>
      </c>
      <c r="B22" s="7">
        <f>IFERROR(AVERAGEIF('Topic Checklist'!$C$5:$C$134,A22,'Topic Checklist'!$I$5:$I$134),0)</f>
        <v>0</v>
      </c>
      <c r="C22" s="6">
        <f>COUNTIFS('Topic Checklist'!$C$5:$C$134,A22,'Topic Checklist'!$G$5:$G$134,"Completed")</f>
        <v>0</v>
      </c>
      <c r="D22" s="6">
        <f>COUNTIF('Topic Checklist'!$C$5:$C$134,A22)</f>
        <v>20</v>
      </c>
      <c r="E22" s="1"/>
      <c r="F22" s="1"/>
      <c r="G22" s="1"/>
      <c r="H22" s="1"/>
      <c r="I22" s="1"/>
      <c r="J22" s="1"/>
      <c r="K22" s="1"/>
      <c r="L22" s="1"/>
    </row>
    <row r="23" spans="1:12">
      <c r="A23" s="1"/>
      <c r="B23" s="1"/>
      <c r="C23" s="1"/>
      <c r="D23" s="1"/>
      <c r="E23" s="1"/>
      <c r="F23" s="1"/>
      <c r="G23" s="1"/>
      <c r="H23" s="1"/>
      <c r="I23" s="1"/>
      <c r="J23" s="1"/>
      <c r="K23" s="1"/>
      <c r="L23" s="1"/>
    </row>
    <row r="24" spans="1:12">
      <c r="A24" s="1"/>
      <c r="B24" s="1"/>
      <c r="C24" s="1"/>
      <c r="D24" s="1"/>
      <c r="E24" s="1"/>
      <c r="F24" s="1"/>
      <c r="G24" s="1"/>
      <c r="H24" s="1"/>
      <c r="I24" s="1"/>
      <c r="J24" s="1"/>
      <c r="K24" s="1"/>
      <c r="L24" s="1"/>
    </row>
    <row r="25" spans="1:12">
      <c r="A25" s="1"/>
      <c r="B25" s="1"/>
      <c r="C25" s="1"/>
      <c r="D25" s="1"/>
      <c r="E25" s="1"/>
      <c r="F25" s="1"/>
      <c r="G25" s="1"/>
      <c r="H25" s="1"/>
      <c r="I25" s="1"/>
      <c r="J25" s="1"/>
      <c r="K25" s="1"/>
      <c r="L25" s="1"/>
    </row>
    <row r="26" spans="1:12">
      <c r="A26" s="25" t="s">
        <v>24</v>
      </c>
      <c r="B26" s="26" t="s">
        <v>25</v>
      </c>
      <c r="C26" s="27" t="s">
        <v>26</v>
      </c>
      <c r="D26" s="1"/>
      <c r="E26" s="1"/>
      <c r="F26" s="1"/>
      <c r="G26" s="1"/>
      <c r="H26" s="1"/>
      <c r="I26" s="1"/>
      <c r="J26" s="1"/>
      <c r="K26" s="1"/>
      <c r="L26" s="1"/>
    </row>
    <row r="27" spans="1:12">
      <c r="A27" s="1">
        <v>1</v>
      </c>
      <c r="B27" s="8">
        <f>'Weekly Tracker'!$G$5</f>
        <v>8</v>
      </c>
      <c r="C27" s="8">
        <f>'Weekly Tracker'!$H$5</f>
        <v>0</v>
      </c>
      <c r="D27" s="1"/>
      <c r="E27" s="1"/>
      <c r="F27" s="1"/>
      <c r="G27" s="1"/>
      <c r="H27" s="1"/>
      <c r="I27" s="1"/>
      <c r="J27" s="1"/>
      <c r="K27" s="1"/>
      <c r="L27" s="1"/>
    </row>
    <row r="28" spans="1:12">
      <c r="A28" s="1">
        <v>2</v>
      </c>
      <c r="B28" s="8">
        <f>'Weekly Tracker'!$G$6</f>
        <v>8</v>
      </c>
      <c r="C28" s="8">
        <f>'Weekly Tracker'!$H$6</f>
        <v>0</v>
      </c>
      <c r="D28" s="1"/>
      <c r="E28" s="1"/>
      <c r="F28" s="1"/>
      <c r="G28" s="1"/>
      <c r="H28" s="1"/>
      <c r="I28" s="1"/>
      <c r="J28" s="1"/>
      <c r="K28" s="1"/>
      <c r="L28" s="1"/>
    </row>
    <row r="29" spans="1:12">
      <c r="A29" s="1">
        <v>3</v>
      </c>
      <c r="B29" s="8">
        <f>'Weekly Tracker'!$G$7</f>
        <v>8</v>
      </c>
      <c r="C29" s="8">
        <f>'Weekly Tracker'!$H$7</f>
        <v>0</v>
      </c>
      <c r="D29" s="1"/>
      <c r="E29" s="1"/>
      <c r="F29" s="1"/>
      <c r="G29" s="1"/>
      <c r="H29" s="1"/>
      <c r="I29" s="1"/>
      <c r="J29" s="1"/>
      <c r="K29" s="1"/>
      <c r="L29" s="1"/>
    </row>
    <row r="30" spans="1:12">
      <c r="A30" s="1">
        <v>4</v>
      </c>
      <c r="B30" s="8">
        <f>'Weekly Tracker'!$G$8</f>
        <v>8</v>
      </c>
      <c r="C30" s="8">
        <f>'Weekly Tracker'!$H$8</f>
        <v>0</v>
      </c>
      <c r="D30" s="1"/>
      <c r="E30" s="1"/>
      <c r="F30" s="1"/>
      <c r="G30" s="1"/>
      <c r="H30" s="1"/>
      <c r="I30" s="1"/>
      <c r="J30" s="1"/>
      <c r="K30" s="1"/>
      <c r="L30" s="1"/>
    </row>
    <row r="31" spans="1:12">
      <c r="A31" s="1">
        <v>5</v>
      </c>
      <c r="B31" s="8">
        <f>'Weekly Tracker'!$G$9</f>
        <v>8</v>
      </c>
      <c r="C31" s="8">
        <f>'Weekly Tracker'!$H$9</f>
        <v>0</v>
      </c>
      <c r="D31" s="1"/>
      <c r="E31" s="1"/>
      <c r="F31" s="1"/>
      <c r="G31" s="1"/>
      <c r="H31" s="1"/>
      <c r="I31" s="1"/>
      <c r="J31" s="1"/>
      <c r="K31" s="1"/>
      <c r="L31" s="1"/>
    </row>
    <row r="32" spans="1:12">
      <c r="A32" s="1">
        <v>6</v>
      </c>
      <c r="B32" s="8">
        <f>'Weekly Tracker'!$G$10</f>
        <v>8</v>
      </c>
      <c r="C32" s="8">
        <f>'Weekly Tracker'!$H$10</f>
        <v>0</v>
      </c>
      <c r="D32" s="1"/>
      <c r="E32" s="1"/>
      <c r="F32" s="1"/>
      <c r="G32" s="1"/>
      <c r="H32" s="1"/>
      <c r="I32" s="1"/>
      <c r="J32" s="1"/>
      <c r="K32" s="1"/>
      <c r="L32" s="1"/>
    </row>
    <row r="33" spans="1:12">
      <c r="A33" s="1">
        <v>7</v>
      </c>
      <c r="B33" s="8">
        <f>'Weekly Tracker'!$G$11</f>
        <v>8</v>
      </c>
      <c r="C33" s="8">
        <f>'Weekly Tracker'!$H$11</f>
        <v>0</v>
      </c>
      <c r="D33" s="1"/>
      <c r="E33" s="1"/>
      <c r="F33" s="1"/>
      <c r="G33" s="1"/>
      <c r="H33" s="1"/>
      <c r="I33" s="1"/>
      <c r="J33" s="1"/>
      <c r="K33" s="1"/>
      <c r="L33" s="1"/>
    </row>
    <row r="34" spans="1:12">
      <c r="A34" s="1">
        <v>8</v>
      </c>
      <c r="B34" s="8">
        <f>'Weekly Tracker'!$G$12</f>
        <v>8</v>
      </c>
      <c r="C34" s="8">
        <f>'Weekly Tracker'!$H$12</f>
        <v>0</v>
      </c>
      <c r="D34" s="1"/>
      <c r="E34" s="1"/>
      <c r="F34" s="1"/>
      <c r="G34" s="1"/>
      <c r="H34" s="1"/>
      <c r="I34" s="1"/>
      <c r="J34" s="1"/>
      <c r="K34" s="1"/>
      <c r="L34" s="1"/>
    </row>
    <row r="35" spans="1:12">
      <c r="A35" s="1">
        <v>9</v>
      </c>
      <c r="B35" s="8">
        <f>'Weekly Tracker'!$G$13</f>
        <v>8</v>
      </c>
      <c r="C35" s="8">
        <f>'Weekly Tracker'!$H$13</f>
        <v>0</v>
      </c>
      <c r="D35" s="1"/>
      <c r="E35" s="1"/>
      <c r="F35" s="1"/>
      <c r="G35" s="1"/>
      <c r="H35" s="1"/>
      <c r="I35" s="1"/>
      <c r="J35" s="1"/>
      <c r="K35" s="1"/>
      <c r="L35" s="1"/>
    </row>
    <row r="36" spans="1:12">
      <c r="A36" s="1">
        <v>10</v>
      </c>
      <c r="B36" s="8">
        <f>'Weekly Tracker'!$G$14</f>
        <v>8</v>
      </c>
      <c r="C36" s="8">
        <f>'Weekly Tracker'!$H$14</f>
        <v>0</v>
      </c>
      <c r="D36" s="1"/>
      <c r="E36" s="1"/>
      <c r="F36" s="1"/>
      <c r="G36" s="1"/>
      <c r="H36" s="1"/>
      <c r="I36" s="1"/>
      <c r="J36" s="1"/>
      <c r="K36" s="1"/>
      <c r="L36" s="1"/>
    </row>
    <row r="37" spans="1:12">
      <c r="A37" s="1">
        <v>11</v>
      </c>
      <c r="B37" s="8">
        <f>'Weekly Tracker'!$G$15</f>
        <v>8</v>
      </c>
      <c r="C37" s="8">
        <f>'Weekly Tracker'!$H$15</f>
        <v>0</v>
      </c>
      <c r="D37" s="1"/>
      <c r="E37" s="1"/>
      <c r="F37" s="1"/>
      <c r="G37" s="1"/>
      <c r="H37" s="1"/>
      <c r="I37" s="1"/>
      <c r="J37" s="1"/>
      <c r="K37" s="1"/>
      <c r="L37" s="1"/>
    </row>
    <row r="38" spans="1:12">
      <c r="A38" s="1">
        <v>12</v>
      </c>
      <c r="B38" s="8">
        <f>'Weekly Tracker'!$G$16</f>
        <v>8</v>
      </c>
      <c r="C38" s="8">
        <f>'Weekly Tracker'!$H$16</f>
        <v>0</v>
      </c>
      <c r="D38" s="1"/>
      <c r="E38" s="1"/>
      <c r="F38" s="1"/>
      <c r="G38" s="1"/>
      <c r="H38" s="1"/>
      <c r="I38" s="1"/>
      <c r="J38" s="1"/>
      <c r="K38" s="1"/>
      <c r="L38" s="1"/>
    </row>
    <row r="39" spans="1:12">
      <c r="A39" s="1">
        <v>13</v>
      </c>
      <c r="B39" s="8">
        <f>'Weekly Tracker'!$G$17</f>
        <v>8</v>
      </c>
      <c r="C39" s="8">
        <f>'Weekly Tracker'!$H$17</f>
        <v>0</v>
      </c>
      <c r="D39" s="1"/>
      <c r="E39" s="1"/>
      <c r="F39" s="1"/>
      <c r="G39" s="1"/>
      <c r="H39" s="1"/>
      <c r="I39" s="1"/>
      <c r="J39" s="1"/>
      <c r="K39" s="1"/>
      <c r="L39" s="1"/>
    </row>
    <row r="40" spans="1:12">
      <c r="A40" s="1">
        <v>14</v>
      </c>
      <c r="B40" s="8">
        <f>'Weekly Tracker'!$G$18</f>
        <v>8</v>
      </c>
      <c r="C40" s="8">
        <f>'Weekly Tracker'!$H$18</f>
        <v>0</v>
      </c>
      <c r="D40" s="1"/>
      <c r="E40" s="1"/>
      <c r="F40" s="1"/>
      <c r="G40" s="1"/>
      <c r="H40" s="1"/>
      <c r="I40" s="1"/>
      <c r="J40" s="1"/>
      <c r="K40" s="1"/>
      <c r="L40" s="1"/>
    </row>
    <row r="41" spans="1:12">
      <c r="A41" s="1">
        <v>15</v>
      </c>
      <c r="B41" s="8">
        <f>'Weekly Tracker'!$G$19</f>
        <v>8</v>
      </c>
      <c r="C41" s="8">
        <f>'Weekly Tracker'!$H$19</f>
        <v>0</v>
      </c>
      <c r="D41" s="1"/>
      <c r="E41" s="1"/>
      <c r="F41" s="1"/>
      <c r="G41" s="1"/>
      <c r="H41" s="1"/>
      <c r="I41" s="1"/>
      <c r="J41" s="1"/>
      <c r="K41" s="1"/>
      <c r="L41" s="1"/>
    </row>
    <row r="42" spans="1:12">
      <c r="A42" s="1">
        <v>16</v>
      </c>
      <c r="B42" s="8">
        <f>'Weekly Tracker'!$G$20</f>
        <v>8</v>
      </c>
      <c r="C42" s="8">
        <f>'Weekly Tracker'!$H$20</f>
        <v>0</v>
      </c>
      <c r="D42" s="1"/>
      <c r="E42" s="1"/>
      <c r="F42" s="1"/>
      <c r="G42" s="1"/>
      <c r="H42" s="1"/>
      <c r="I42" s="1"/>
      <c r="J42" s="1"/>
      <c r="K42" s="1"/>
      <c r="L42" s="1"/>
    </row>
    <row r="43" spans="1:12">
      <c r="A43" s="1">
        <v>17</v>
      </c>
      <c r="B43" s="8">
        <f>'Weekly Tracker'!$G$21</f>
        <v>8</v>
      </c>
      <c r="C43" s="8">
        <f>'Weekly Tracker'!$H$21</f>
        <v>0</v>
      </c>
      <c r="D43" s="1"/>
      <c r="E43" s="1"/>
      <c r="F43" s="1"/>
      <c r="G43" s="1"/>
      <c r="H43" s="1"/>
      <c r="I43" s="1"/>
      <c r="J43" s="1"/>
      <c r="K43" s="1"/>
      <c r="L43" s="1"/>
    </row>
    <row r="44" spans="1:12">
      <c r="A44" s="1">
        <v>18</v>
      </c>
      <c r="B44" s="8">
        <f>'Weekly Tracker'!$G$22</f>
        <v>8</v>
      </c>
      <c r="C44" s="8">
        <f>'Weekly Tracker'!$H$22</f>
        <v>0</v>
      </c>
      <c r="D44" s="1"/>
      <c r="E44" s="1"/>
      <c r="F44" s="1"/>
      <c r="G44" s="1"/>
      <c r="H44" s="1"/>
      <c r="I44" s="1"/>
      <c r="J44" s="1"/>
      <c r="K44" s="1"/>
      <c r="L44" s="1"/>
    </row>
    <row r="45" spans="1:12">
      <c r="A45" s="1">
        <v>19</v>
      </c>
      <c r="B45" s="8">
        <f>'Weekly Tracker'!$G$23</f>
        <v>8</v>
      </c>
      <c r="C45" s="8">
        <f>'Weekly Tracker'!$H$23</f>
        <v>0</v>
      </c>
      <c r="D45" s="1"/>
      <c r="E45" s="1"/>
      <c r="F45" s="1"/>
      <c r="G45" s="1"/>
      <c r="H45" s="1"/>
      <c r="I45" s="1"/>
      <c r="J45" s="1"/>
      <c r="K45" s="1"/>
      <c r="L45" s="1"/>
    </row>
    <row r="46" spans="1:12">
      <c r="A46" s="1">
        <v>20</v>
      </c>
      <c r="B46" s="8">
        <f>'Weekly Tracker'!$G$24</f>
        <v>8</v>
      </c>
      <c r="C46" s="8">
        <f>'Weekly Tracker'!$H$24</f>
        <v>0</v>
      </c>
      <c r="D46" s="1"/>
      <c r="E46" s="1"/>
      <c r="F46" s="1"/>
      <c r="G46" s="1"/>
      <c r="H46" s="1"/>
      <c r="I46" s="1"/>
      <c r="J46" s="1"/>
      <c r="K46" s="1"/>
      <c r="L46" s="1"/>
    </row>
    <row r="47" spans="1:12">
      <c r="A47" s="1">
        <v>21</v>
      </c>
      <c r="B47" s="8">
        <f>'Weekly Tracker'!$G$25</f>
        <v>8</v>
      </c>
      <c r="C47" s="8">
        <f>'Weekly Tracker'!$H$25</f>
        <v>0</v>
      </c>
      <c r="D47" s="1"/>
      <c r="E47" s="1"/>
      <c r="F47" s="1"/>
      <c r="G47" s="1"/>
      <c r="H47" s="1"/>
      <c r="I47" s="1"/>
      <c r="J47" s="1"/>
      <c r="K47" s="1"/>
      <c r="L47" s="1"/>
    </row>
    <row r="48" spans="1:12">
      <c r="A48" s="1">
        <v>22</v>
      </c>
      <c r="B48" s="8">
        <f>'Weekly Tracker'!$G$26</f>
        <v>8</v>
      </c>
      <c r="C48" s="8">
        <f>'Weekly Tracker'!$H$26</f>
        <v>0</v>
      </c>
      <c r="D48" s="1"/>
      <c r="E48" s="1"/>
      <c r="F48" s="1"/>
      <c r="G48" s="1"/>
      <c r="H48" s="1"/>
      <c r="I48" s="1"/>
      <c r="J48" s="1"/>
      <c r="K48" s="1"/>
      <c r="L48" s="1"/>
    </row>
    <row r="49" spans="1:12">
      <c r="A49" s="1">
        <v>23</v>
      </c>
      <c r="B49" s="8">
        <f>'Weekly Tracker'!$G$27</f>
        <v>8</v>
      </c>
      <c r="C49" s="8">
        <f>'Weekly Tracker'!$H$27</f>
        <v>0</v>
      </c>
      <c r="D49" s="1"/>
      <c r="E49" s="1"/>
      <c r="F49" s="1"/>
      <c r="G49" s="1"/>
      <c r="H49" s="1"/>
      <c r="I49" s="1"/>
      <c r="J49" s="1"/>
      <c r="K49" s="1"/>
      <c r="L49" s="1"/>
    </row>
    <row r="50" spans="1:12">
      <c r="A50" s="1">
        <v>24</v>
      </c>
      <c r="B50" s="8">
        <f>'Weekly Tracker'!$G$28</f>
        <v>8</v>
      </c>
      <c r="C50" s="8">
        <f>'Weekly Tracker'!$H$28</f>
        <v>0</v>
      </c>
      <c r="D50" s="1"/>
      <c r="E50" s="1"/>
      <c r="F50" s="1"/>
      <c r="G50" s="1"/>
      <c r="H50" s="1"/>
      <c r="I50" s="1"/>
      <c r="J50" s="1"/>
      <c r="K50" s="1"/>
      <c r="L50" s="1"/>
    </row>
    <row r="51" spans="1:12">
      <c r="A51" s="1">
        <v>25</v>
      </c>
      <c r="B51" s="8">
        <f>'Weekly Tracker'!$G$29</f>
        <v>8</v>
      </c>
      <c r="C51" s="8">
        <f>'Weekly Tracker'!$H$29</f>
        <v>0</v>
      </c>
      <c r="D51" s="1"/>
      <c r="E51" s="1"/>
      <c r="F51" s="1"/>
      <c r="G51" s="1"/>
      <c r="H51" s="1"/>
      <c r="I51" s="1"/>
      <c r="J51" s="1"/>
      <c r="K51" s="1"/>
      <c r="L51" s="1"/>
    </row>
    <row r="52" spans="1:12">
      <c r="A52" s="6">
        <v>26</v>
      </c>
      <c r="B52" s="9">
        <f>'Weekly Tracker'!$G$30</f>
        <v>8</v>
      </c>
      <c r="C52" s="9">
        <f>'Weekly Tracker'!$H$30</f>
        <v>0</v>
      </c>
      <c r="D52" s="1"/>
      <c r="E52" s="1"/>
      <c r="F52" s="1"/>
      <c r="G52" s="1"/>
      <c r="H52" s="1"/>
      <c r="I52" s="1"/>
      <c r="J52" s="1"/>
      <c r="K52" s="1"/>
      <c r="L52" s="1"/>
    </row>
    <row r="53" spans="1:12">
      <c r="A53" s="1"/>
      <c r="B53" s="1"/>
      <c r="C53" s="1"/>
      <c r="D53" s="1"/>
      <c r="E53" s="1"/>
      <c r="F53" s="1"/>
      <c r="G53" s="1"/>
      <c r="H53" s="1"/>
      <c r="I53" s="1"/>
      <c r="J53" s="1"/>
      <c r="K53" s="1"/>
      <c r="L53" s="1"/>
    </row>
    <row r="54" spans="1:12">
      <c r="A54" s="1"/>
      <c r="B54" s="1"/>
      <c r="C54" s="1"/>
      <c r="D54" s="1"/>
      <c r="E54" s="1"/>
      <c r="F54" s="1"/>
      <c r="G54" s="1"/>
      <c r="H54" s="1"/>
      <c r="I54" s="1"/>
      <c r="J54" s="1"/>
      <c r="K54" s="1"/>
      <c r="L54" s="1"/>
    </row>
    <row r="55" spans="1:12">
      <c r="A55" s="69" t="s">
        <v>27</v>
      </c>
      <c r="B55" s="69" t="s">
        <v>27</v>
      </c>
      <c r="C55" s="69" t="s">
        <v>27</v>
      </c>
      <c r="D55" s="69" t="s">
        <v>27</v>
      </c>
      <c r="E55" s="69" t="s">
        <v>27</v>
      </c>
      <c r="F55" s="69" t="s">
        <v>27</v>
      </c>
      <c r="G55" s="69" t="s">
        <v>27</v>
      </c>
      <c r="H55" s="69" t="s">
        <v>27</v>
      </c>
      <c r="I55" s="69" t="s">
        <v>27</v>
      </c>
      <c r="J55" s="69" t="s">
        <v>27</v>
      </c>
      <c r="K55" s="69" t="s">
        <v>27</v>
      </c>
      <c r="L55" s="69" t="s">
        <v>27</v>
      </c>
    </row>
    <row r="56" spans="1:12" ht="25" customHeight="1">
      <c r="A56" s="89" t="s">
        <v>28</v>
      </c>
      <c r="B56" s="90" t="s">
        <v>28</v>
      </c>
      <c r="C56" s="90" t="s">
        <v>28</v>
      </c>
      <c r="D56" s="90" t="s">
        <v>28</v>
      </c>
      <c r="E56" s="90" t="s">
        <v>28</v>
      </c>
      <c r="F56" s="90" t="s">
        <v>28</v>
      </c>
      <c r="G56" s="90" t="s">
        <v>28</v>
      </c>
      <c r="H56" s="90" t="s">
        <v>28</v>
      </c>
      <c r="I56" s="90" t="s">
        <v>28</v>
      </c>
      <c r="J56" s="90" t="s">
        <v>28</v>
      </c>
      <c r="K56" s="90" t="s">
        <v>28</v>
      </c>
      <c r="L56" s="91" t="s">
        <v>28</v>
      </c>
    </row>
    <row r="57" spans="1:12" ht="25" customHeight="1">
      <c r="A57" s="92" t="s">
        <v>28</v>
      </c>
      <c r="B57" s="93" t="s">
        <v>28</v>
      </c>
      <c r="C57" s="93" t="s">
        <v>28</v>
      </c>
      <c r="D57" s="93" t="s">
        <v>28</v>
      </c>
      <c r="E57" s="93" t="s">
        <v>28</v>
      </c>
      <c r="F57" s="93" t="s">
        <v>28</v>
      </c>
      <c r="G57" s="93" t="s">
        <v>28</v>
      </c>
      <c r="H57" s="93" t="s">
        <v>28</v>
      </c>
      <c r="I57" s="93" t="s">
        <v>28</v>
      </c>
      <c r="J57" s="93" t="s">
        <v>28</v>
      </c>
      <c r="K57" s="93" t="s">
        <v>28</v>
      </c>
      <c r="L57" s="94" t="s">
        <v>28</v>
      </c>
    </row>
    <row r="58" spans="1:12" ht="25" customHeight="1">
      <c r="A58" s="95" t="s">
        <v>28</v>
      </c>
      <c r="B58" s="96" t="s">
        <v>28</v>
      </c>
      <c r="C58" s="96" t="s">
        <v>28</v>
      </c>
      <c r="D58" s="96" t="s">
        <v>28</v>
      </c>
      <c r="E58" s="96" t="s">
        <v>28</v>
      </c>
      <c r="F58" s="96" t="s">
        <v>28</v>
      </c>
      <c r="G58" s="96" t="s">
        <v>28</v>
      </c>
      <c r="H58" s="96" t="s">
        <v>28</v>
      </c>
      <c r="I58" s="96" t="s">
        <v>28</v>
      </c>
      <c r="J58" s="96" t="s">
        <v>28</v>
      </c>
      <c r="K58" s="96" t="s">
        <v>28</v>
      </c>
      <c r="L58" s="97" t="s">
        <v>28</v>
      </c>
    </row>
  </sheetData>
  <mergeCells count="23">
    <mergeCell ref="A56:L58"/>
    <mergeCell ref="J9:L9"/>
    <mergeCell ref="J10:K10"/>
    <mergeCell ref="J11:K11"/>
    <mergeCell ref="J12:K12"/>
    <mergeCell ref="A55:L55"/>
    <mergeCell ref="A9:H9"/>
    <mergeCell ref="A10:B10"/>
    <mergeCell ref="A11:B11"/>
    <mergeCell ref="A12:B12"/>
    <mergeCell ref="C10:H10"/>
    <mergeCell ref="C11:H11"/>
    <mergeCell ref="C12:H12"/>
    <mergeCell ref="A1:L2"/>
    <mergeCell ref="A3:L3"/>
    <mergeCell ref="A5:C5"/>
    <mergeCell ref="A6:C7"/>
    <mergeCell ref="D5:F5"/>
    <mergeCell ref="D6:F7"/>
    <mergeCell ref="G5:I5"/>
    <mergeCell ref="G6:I7"/>
    <mergeCell ref="J5:L5"/>
    <mergeCell ref="J6:L7"/>
  </mergeCells>
  <conditionalFormatting sqref="B16:B22">
    <cfRule type="dataBar" priority="1">
      <dataBar>
        <cfvo type="min"/>
        <cfvo type="max"/>
        <color rgb="FF16A34A"/>
      </dataBar>
    </cfRule>
    <cfRule type="dataBar" priority="2">
      <dataBar>
        <cfvo type="min"/>
        <cfvo type="max"/>
        <color rgb="FF16A34A"/>
      </dataBar>
      <extLst>
        <ext xmlns:x14="http://schemas.microsoft.com/office/spreadsheetml/2009/9/main" uri="{B025F937-C7B1-47D3-B67F-A62EFF666E3E}">
          <x14:id>{E5D2A047-4238-8741-E2B3-85669B88D1C8}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E5D2A047-4238-8741-E2B3-85669B88D1C8}">
            <x14:dataBar>
              <x14:cfvo type="min"/>
              <x14:cfvo type="max"/>
              <x14:negativeFillColor auto="1"/>
              <x14:axisColor auto="1"/>
            </x14:dataBar>
          </x14:cfRule>
          <xm:sqref>B16:B22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0"/>
  <sheetViews>
    <sheetView showGridLines="0" workbookViewId="0">
      <selection sqref="A1:L2"/>
    </sheetView>
  </sheetViews>
  <sheetFormatPr baseColWidth="10" defaultColWidth="8.83203125" defaultRowHeight="15"/>
  <cols>
    <col min="1" max="1" width="7" customWidth="1"/>
    <col min="2" max="3" width="13" customWidth="1"/>
    <col min="4" max="4" width="23" customWidth="1"/>
    <col min="5" max="5" width="34" customWidth="1"/>
    <col min="6" max="6" width="42" customWidth="1"/>
    <col min="7" max="9" width="13" customWidth="1"/>
    <col min="10" max="10" width="16" customWidth="1"/>
    <col min="11" max="11" width="14" customWidth="1"/>
    <col min="12" max="12" width="32" customWidth="1"/>
  </cols>
  <sheetData>
    <row r="1" spans="1:12" ht="30" customHeight="1">
      <c r="A1" s="31" t="s">
        <v>29</v>
      </c>
      <c r="B1" s="31" t="s">
        <v>29</v>
      </c>
      <c r="C1" s="31" t="s">
        <v>29</v>
      </c>
      <c r="D1" s="31" t="s">
        <v>29</v>
      </c>
      <c r="E1" s="31" t="s">
        <v>29</v>
      </c>
      <c r="F1" s="31" t="s">
        <v>29</v>
      </c>
      <c r="G1" s="31" t="s">
        <v>29</v>
      </c>
      <c r="H1" s="31" t="s">
        <v>29</v>
      </c>
      <c r="I1" s="31" t="s">
        <v>29</v>
      </c>
      <c r="J1" s="31" t="s">
        <v>29</v>
      </c>
      <c r="K1" s="31" t="s">
        <v>29</v>
      </c>
      <c r="L1" s="31" t="s">
        <v>29</v>
      </c>
    </row>
    <row r="2" spans="1:12" ht="30" customHeight="1">
      <c r="A2" s="31" t="s">
        <v>29</v>
      </c>
      <c r="B2" s="31" t="s">
        <v>29</v>
      </c>
      <c r="C2" s="31" t="s">
        <v>29</v>
      </c>
      <c r="D2" s="31" t="s">
        <v>29</v>
      </c>
      <c r="E2" s="31" t="s">
        <v>29</v>
      </c>
      <c r="F2" s="31" t="s">
        <v>29</v>
      </c>
      <c r="G2" s="31" t="s">
        <v>29</v>
      </c>
      <c r="H2" s="31" t="s">
        <v>29</v>
      </c>
      <c r="I2" s="31" t="s">
        <v>29</v>
      </c>
      <c r="J2" s="31" t="s">
        <v>29</v>
      </c>
      <c r="K2" s="31" t="s">
        <v>29</v>
      </c>
      <c r="L2" s="31" t="s">
        <v>29</v>
      </c>
    </row>
    <row r="3" spans="1:12" ht="22" customHeight="1">
      <c r="A3" s="32" t="s">
        <v>30</v>
      </c>
      <c r="B3" s="32" t="s">
        <v>30</v>
      </c>
      <c r="C3" s="32" t="s">
        <v>30</v>
      </c>
      <c r="D3" s="32" t="s">
        <v>30</v>
      </c>
      <c r="E3" s="32" t="s">
        <v>30</v>
      </c>
      <c r="F3" s="32" t="s">
        <v>30</v>
      </c>
      <c r="G3" s="32" t="s">
        <v>30</v>
      </c>
      <c r="H3" s="32" t="s">
        <v>30</v>
      </c>
      <c r="I3" s="32" t="s">
        <v>30</v>
      </c>
      <c r="J3" s="32" t="s">
        <v>30</v>
      </c>
      <c r="K3" s="32" t="s">
        <v>30</v>
      </c>
      <c r="L3" s="32" t="s">
        <v>30</v>
      </c>
    </row>
    <row r="4" spans="1:12">
      <c r="A4" s="25" t="s">
        <v>24</v>
      </c>
      <c r="B4" s="26" t="s">
        <v>31</v>
      </c>
      <c r="C4" s="26" t="s">
        <v>32</v>
      </c>
      <c r="D4" s="26" t="s">
        <v>8</v>
      </c>
      <c r="E4" s="26" t="s">
        <v>33</v>
      </c>
      <c r="F4" s="26" t="s">
        <v>34</v>
      </c>
      <c r="G4" s="26" t="s">
        <v>25</v>
      </c>
      <c r="H4" s="26" t="s">
        <v>35</v>
      </c>
      <c r="I4" s="26" t="s">
        <v>36</v>
      </c>
      <c r="J4" s="26" t="s">
        <v>37</v>
      </c>
      <c r="K4" s="26" t="s">
        <v>38</v>
      </c>
      <c r="L4" s="27" t="s">
        <v>39</v>
      </c>
    </row>
    <row r="5" spans="1:12" ht="38" customHeight="1">
      <c r="A5" s="1">
        <v>1</v>
      </c>
      <c r="B5" s="10">
        <f>Setup!$B$6+7*(A5-1)</f>
        <v>46223</v>
      </c>
      <c r="C5" s="10">
        <f t="shared" ref="C5:C30" si="0">B5+6</f>
        <v>46229</v>
      </c>
      <c r="D5" s="11" t="s">
        <v>17</v>
      </c>
      <c r="E5" s="11" t="s">
        <v>40</v>
      </c>
      <c r="F5" s="11" t="s">
        <v>41</v>
      </c>
      <c r="G5" s="12">
        <f>Setup!$B$7</f>
        <v>8</v>
      </c>
      <c r="H5" s="12">
        <f>SUMIF('Practice Log'!$B$5:$B$204,A5,'Practice Log'!$G$5:$G$204)</f>
        <v>0</v>
      </c>
      <c r="I5" s="13" t="str">
        <f t="shared" ref="I5:I30" ca="1" si="1">IF(J5=1,"Completed",IF(TODAY()&lt;B5,"Upcoming",IF(TODAY()&lt;=C5,"Active","Behind")))</f>
        <v>Upcoming</v>
      </c>
      <c r="J5" s="5">
        <f>IFERROR(AVERAGEIF('Topic Checklist'!$B$5:$B$134,A5,'Topic Checklist'!$I$5:$I$134),0)</f>
        <v>0.02</v>
      </c>
      <c r="K5" s="14">
        <f t="shared" ref="K5:K30" si="2">H5-G5</f>
        <v>-8</v>
      </c>
      <c r="L5" s="11"/>
    </row>
    <row r="6" spans="1:12" ht="38" customHeight="1">
      <c r="A6" s="1">
        <v>2</v>
      </c>
      <c r="B6" s="10">
        <f>Setup!$B$6+7*(A6-1)</f>
        <v>46230</v>
      </c>
      <c r="C6" s="10">
        <f t="shared" si="0"/>
        <v>46236</v>
      </c>
      <c r="D6" s="11" t="s">
        <v>17</v>
      </c>
      <c r="E6" s="11" t="s">
        <v>42</v>
      </c>
      <c r="F6" s="11" t="s">
        <v>43</v>
      </c>
      <c r="G6" s="12">
        <f>Setup!$B$7</f>
        <v>8</v>
      </c>
      <c r="H6" s="12">
        <f>SUMIF('Practice Log'!$B$5:$B$204,A6,'Practice Log'!$G$5:$G$204)</f>
        <v>0</v>
      </c>
      <c r="I6" s="13" t="str">
        <f t="shared" ca="1" si="1"/>
        <v>Upcoming</v>
      </c>
      <c r="J6" s="5">
        <f>IFERROR(AVERAGEIF('Topic Checklist'!$B$5:$B$134,A6,'Topic Checklist'!$I$5:$I$134),0)</f>
        <v>0</v>
      </c>
      <c r="K6" s="14">
        <f t="shared" si="2"/>
        <v>-8</v>
      </c>
      <c r="L6" s="11"/>
    </row>
    <row r="7" spans="1:12" ht="38" customHeight="1">
      <c r="A7" s="1">
        <v>3</v>
      </c>
      <c r="B7" s="10">
        <f>Setup!$B$6+7*(A7-1)</f>
        <v>46237</v>
      </c>
      <c r="C7" s="10">
        <f t="shared" si="0"/>
        <v>46243</v>
      </c>
      <c r="D7" s="11" t="s">
        <v>17</v>
      </c>
      <c r="E7" s="11" t="s">
        <v>44</v>
      </c>
      <c r="F7" s="11" t="s">
        <v>45</v>
      </c>
      <c r="G7" s="12">
        <f>Setup!$B$7</f>
        <v>8</v>
      </c>
      <c r="H7" s="12">
        <f>SUMIF('Practice Log'!$B$5:$B$204,A7,'Practice Log'!$G$5:$G$204)</f>
        <v>0</v>
      </c>
      <c r="I7" s="13" t="str">
        <f t="shared" ca="1" si="1"/>
        <v>Upcoming</v>
      </c>
      <c r="J7" s="5">
        <f>IFERROR(AVERAGEIF('Topic Checklist'!$B$5:$B$134,A7,'Topic Checklist'!$I$5:$I$134),0)</f>
        <v>0</v>
      </c>
      <c r="K7" s="14">
        <f t="shared" si="2"/>
        <v>-8</v>
      </c>
      <c r="L7" s="11"/>
    </row>
    <row r="8" spans="1:12" ht="38" customHeight="1">
      <c r="A8" s="1">
        <v>4</v>
      </c>
      <c r="B8" s="10">
        <f>Setup!$B$6+7*(A8-1)</f>
        <v>46244</v>
      </c>
      <c r="C8" s="10">
        <f t="shared" si="0"/>
        <v>46250</v>
      </c>
      <c r="D8" s="11" t="s">
        <v>17</v>
      </c>
      <c r="E8" s="11" t="s">
        <v>46</v>
      </c>
      <c r="F8" s="11" t="s">
        <v>47</v>
      </c>
      <c r="G8" s="12">
        <f>Setup!$B$7</f>
        <v>8</v>
      </c>
      <c r="H8" s="12">
        <f>SUMIF('Practice Log'!$B$5:$B$204,A8,'Practice Log'!$G$5:$G$204)</f>
        <v>0</v>
      </c>
      <c r="I8" s="13" t="str">
        <f t="shared" ca="1" si="1"/>
        <v>Upcoming</v>
      </c>
      <c r="J8" s="5">
        <f>IFERROR(AVERAGEIF('Topic Checklist'!$B$5:$B$134,A8,'Topic Checklist'!$I$5:$I$134),0)</f>
        <v>0</v>
      </c>
      <c r="K8" s="14">
        <f t="shared" si="2"/>
        <v>-8</v>
      </c>
      <c r="L8" s="11"/>
    </row>
    <row r="9" spans="1:12" ht="38" customHeight="1">
      <c r="A9" s="1">
        <v>5</v>
      </c>
      <c r="B9" s="10">
        <f>Setup!$B$6+7*(A9-1)</f>
        <v>46251</v>
      </c>
      <c r="C9" s="10">
        <f t="shared" si="0"/>
        <v>46257</v>
      </c>
      <c r="D9" s="11" t="s">
        <v>18</v>
      </c>
      <c r="E9" s="11" t="s">
        <v>48</v>
      </c>
      <c r="F9" s="11" t="s">
        <v>49</v>
      </c>
      <c r="G9" s="12">
        <f>Setup!$B$7</f>
        <v>8</v>
      </c>
      <c r="H9" s="12">
        <f>SUMIF('Practice Log'!$B$5:$B$204,A9,'Practice Log'!$G$5:$G$204)</f>
        <v>0</v>
      </c>
      <c r="I9" s="13" t="str">
        <f t="shared" ca="1" si="1"/>
        <v>Upcoming</v>
      </c>
      <c r="J9" s="5">
        <f>IFERROR(AVERAGEIF('Topic Checklist'!$B$5:$B$134,A9,'Topic Checklist'!$I$5:$I$134),0)</f>
        <v>0</v>
      </c>
      <c r="K9" s="14">
        <f t="shared" si="2"/>
        <v>-8</v>
      </c>
      <c r="L9" s="11"/>
    </row>
    <row r="10" spans="1:12" ht="38" customHeight="1">
      <c r="A10" s="1">
        <v>6</v>
      </c>
      <c r="B10" s="10">
        <f>Setup!$B$6+7*(A10-1)</f>
        <v>46258</v>
      </c>
      <c r="C10" s="10">
        <f t="shared" si="0"/>
        <v>46264</v>
      </c>
      <c r="D10" s="11" t="s">
        <v>18</v>
      </c>
      <c r="E10" s="11" t="s">
        <v>50</v>
      </c>
      <c r="F10" s="11" t="s">
        <v>51</v>
      </c>
      <c r="G10" s="12">
        <f>Setup!$B$7</f>
        <v>8</v>
      </c>
      <c r="H10" s="12">
        <f>SUMIF('Practice Log'!$B$5:$B$204,A10,'Practice Log'!$G$5:$G$204)</f>
        <v>0</v>
      </c>
      <c r="I10" s="13" t="str">
        <f t="shared" ca="1" si="1"/>
        <v>Upcoming</v>
      </c>
      <c r="J10" s="5">
        <f>IFERROR(AVERAGEIF('Topic Checklist'!$B$5:$B$134,A10,'Topic Checklist'!$I$5:$I$134),0)</f>
        <v>0</v>
      </c>
      <c r="K10" s="14">
        <f t="shared" si="2"/>
        <v>-8</v>
      </c>
      <c r="L10" s="11"/>
    </row>
    <row r="11" spans="1:12" ht="38" customHeight="1">
      <c r="A11" s="1">
        <v>7</v>
      </c>
      <c r="B11" s="10">
        <f>Setup!$B$6+7*(A11-1)</f>
        <v>46265</v>
      </c>
      <c r="C11" s="10">
        <f t="shared" si="0"/>
        <v>46271</v>
      </c>
      <c r="D11" s="11" t="s">
        <v>18</v>
      </c>
      <c r="E11" s="11" t="s">
        <v>52</v>
      </c>
      <c r="F11" s="11" t="s">
        <v>53</v>
      </c>
      <c r="G11" s="12">
        <f>Setup!$B$7</f>
        <v>8</v>
      </c>
      <c r="H11" s="12">
        <f>SUMIF('Practice Log'!$B$5:$B$204,A11,'Practice Log'!$G$5:$G$204)</f>
        <v>0</v>
      </c>
      <c r="I11" s="13" t="str">
        <f t="shared" ca="1" si="1"/>
        <v>Upcoming</v>
      </c>
      <c r="J11" s="5">
        <f>IFERROR(AVERAGEIF('Topic Checklist'!$B$5:$B$134,A11,'Topic Checklist'!$I$5:$I$134),0)</f>
        <v>0</v>
      </c>
      <c r="K11" s="14">
        <f t="shared" si="2"/>
        <v>-8</v>
      </c>
      <c r="L11" s="11"/>
    </row>
    <row r="12" spans="1:12" ht="38" customHeight="1">
      <c r="A12" s="1">
        <v>8</v>
      </c>
      <c r="B12" s="10">
        <f>Setup!$B$6+7*(A12-1)</f>
        <v>46272</v>
      </c>
      <c r="C12" s="10">
        <f t="shared" si="0"/>
        <v>46278</v>
      </c>
      <c r="D12" s="11" t="s">
        <v>18</v>
      </c>
      <c r="E12" s="11" t="s">
        <v>54</v>
      </c>
      <c r="F12" s="11" t="s">
        <v>55</v>
      </c>
      <c r="G12" s="12">
        <f>Setup!$B$7</f>
        <v>8</v>
      </c>
      <c r="H12" s="12">
        <f>SUMIF('Practice Log'!$B$5:$B$204,A12,'Practice Log'!$G$5:$G$204)</f>
        <v>0</v>
      </c>
      <c r="I12" s="13" t="str">
        <f t="shared" ca="1" si="1"/>
        <v>Upcoming</v>
      </c>
      <c r="J12" s="5">
        <f>IFERROR(AVERAGEIF('Topic Checklist'!$B$5:$B$134,A12,'Topic Checklist'!$I$5:$I$134),0)</f>
        <v>0</v>
      </c>
      <c r="K12" s="14">
        <f t="shared" si="2"/>
        <v>-8</v>
      </c>
      <c r="L12" s="11"/>
    </row>
    <row r="13" spans="1:12" ht="38" customHeight="1">
      <c r="A13" s="1">
        <v>9</v>
      </c>
      <c r="B13" s="10">
        <f>Setup!$B$6+7*(A13-1)</f>
        <v>46279</v>
      </c>
      <c r="C13" s="10">
        <f t="shared" si="0"/>
        <v>46285</v>
      </c>
      <c r="D13" s="11" t="s">
        <v>19</v>
      </c>
      <c r="E13" s="11" t="s">
        <v>56</v>
      </c>
      <c r="F13" s="11" t="s">
        <v>57</v>
      </c>
      <c r="G13" s="12">
        <f>Setup!$B$7</f>
        <v>8</v>
      </c>
      <c r="H13" s="12">
        <f>SUMIF('Practice Log'!$B$5:$B$204,A13,'Practice Log'!$G$5:$G$204)</f>
        <v>0</v>
      </c>
      <c r="I13" s="13" t="str">
        <f t="shared" ca="1" si="1"/>
        <v>Upcoming</v>
      </c>
      <c r="J13" s="5">
        <f>IFERROR(AVERAGEIF('Topic Checklist'!$B$5:$B$134,A13,'Topic Checklist'!$I$5:$I$134),0)</f>
        <v>0</v>
      </c>
      <c r="K13" s="14">
        <f t="shared" si="2"/>
        <v>-8</v>
      </c>
      <c r="L13" s="11"/>
    </row>
    <row r="14" spans="1:12" ht="38" customHeight="1">
      <c r="A14" s="1">
        <v>10</v>
      </c>
      <c r="B14" s="10">
        <f>Setup!$B$6+7*(A14-1)</f>
        <v>46286</v>
      </c>
      <c r="C14" s="10">
        <f t="shared" si="0"/>
        <v>46292</v>
      </c>
      <c r="D14" s="11" t="s">
        <v>19</v>
      </c>
      <c r="E14" s="11" t="s">
        <v>58</v>
      </c>
      <c r="F14" s="11" t="s">
        <v>59</v>
      </c>
      <c r="G14" s="12">
        <f>Setup!$B$7</f>
        <v>8</v>
      </c>
      <c r="H14" s="12">
        <f>SUMIF('Practice Log'!$B$5:$B$204,A14,'Practice Log'!$G$5:$G$204)</f>
        <v>0</v>
      </c>
      <c r="I14" s="13" t="str">
        <f t="shared" ca="1" si="1"/>
        <v>Upcoming</v>
      </c>
      <c r="J14" s="5">
        <f>IFERROR(AVERAGEIF('Topic Checklist'!$B$5:$B$134,A14,'Topic Checklist'!$I$5:$I$134),0)</f>
        <v>0</v>
      </c>
      <c r="K14" s="14">
        <f t="shared" si="2"/>
        <v>-8</v>
      </c>
      <c r="L14" s="11"/>
    </row>
    <row r="15" spans="1:12" ht="38" customHeight="1">
      <c r="A15" s="1">
        <v>11</v>
      </c>
      <c r="B15" s="10">
        <f>Setup!$B$6+7*(A15-1)</f>
        <v>46293</v>
      </c>
      <c r="C15" s="10">
        <f t="shared" si="0"/>
        <v>46299</v>
      </c>
      <c r="D15" s="11" t="s">
        <v>19</v>
      </c>
      <c r="E15" s="11" t="s">
        <v>60</v>
      </c>
      <c r="F15" s="11" t="s">
        <v>61</v>
      </c>
      <c r="G15" s="12">
        <f>Setup!$B$7</f>
        <v>8</v>
      </c>
      <c r="H15" s="12">
        <f>SUMIF('Practice Log'!$B$5:$B$204,A15,'Practice Log'!$G$5:$G$204)</f>
        <v>0</v>
      </c>
      <c r="I15" s="13" t="str">
        <f t="shared" ca="1" si="1"/>
        <v>Upcoming</v>
      </c>
      <c r="J15" s="5">
        <f>IFERROR(AVERAGEIF('Topic Checklist'!$B$5:$B$134,A15,'Topic Checklist'!$I$5:$I$134),0)</f>
        <v>0</v>
      </c>
      <c r="K15" s="14">
        <f t="shared" si="2"/>
        <v>-8</v>
      </c>
      <c r="L15" s="11"/>
    </row>
    <row r="16" spans="1:12" ht="38" customHeight="1">
      <c r="A16" s="1">
        <v>12</v>
      </c>
      <c r="B16" s="10">
        <f>Setup!$B$6+7*(A16-1)</f>
        <v>46300</v>
      </c>
      <c r="C16" s="10">
        <f t="shared" si="0"/>
        <v>46306</v>
      </c>
      <c r="D16" s="11" t="s">
        <v>19</v>
      </c>
      <c r="E16" s="11" t="s">
        <v>62</v>
      </c>
      <c r="F16" s="11" t="s">
        <v>63</v>
      </c>
      <c r="G16" s="12">
        <f>Setup!$B$7</f>
        <v>8</v>
      </c>
      <c r="H16" s="12">
        <f>SUMIF('Practice Log'!$B$5:$B$204,A16,'Practice Log'!$G$5:$G$204)</f>
        <v>0</v>
      </c>
      <c r="I16" s="13" t="str">
        <f t="shared" ca="1" si="1"/>
        <v>Upcoming</v>
      </c>
      <c r="J16" s="5">
        <f>IFERROR(AVERAGEIF('Topic Checklist'!$B$5:$B$134,A16,'Topic Checklist'!$I$5:$I$134),0)</f>
        <v>0</v>
      </c>
      <c r="K16" s="14">
        <f t="shared" si="2"/>
        <v>-8</v>
      </c>
      <c r="L16" s="11"/>
    </row>
    <row r="17" spans="1:12" ht="38" customHeight="1">
      <c r="A17" s="1">
        <v>13</v>
      </c>
      <c r="B17" s="10">
        <f>Setup!$B$6+7*(A17-1)</f>
        <v>46307</v>
      </c>
      <c r="C17" s="10">
        <f t="shared" si="0"/>
        <v>46313</v>
      </c>
      <c r="D17" s="11" t="s">
        <v>20</v>
      </c>
      <c r="E17" s="11" t="s">
        <v>64</v>
      </c>
      <c r="F17" s="11" t="s">
        <v>65</v>
      </c>
      <c r="G17" s="12">
        <f>Setup!$B$7</f>
        <v>8</v>
      </c>
      <c r="H17" s="12">
        <f>SUMIF('Practice Log'!$B$5:$B$204,A17,'Practice Log'!$G$5:$G$204)</f>
        <v>0</v>
      </c>
      <c r="I17" s="13" t="str">
        <f t="shared" ca="1" si="1"/>
        <v>Upcoming</v>
      </c>
      <c r="J17" s="5">
        <f>IFERROR(AVERAGEIF('Topic Checklist'!$B$5:$B$134,A17,'Topic Checklist'!$I$5:$I$134),0)</f>
        <v>0</v>
      </c>
      <c r="K17" s="14">
        <f t="shared" si="2"/>
        <v>-8</v>
      </c>
      <c r="L17" s="11"/>
    </row>
    <row r="18" spans="1:12" ht="38" customHeight="1">
      <c r="A18" s="1">
        <v>14</v>
      </c>
      <c r="B18" s="10">
        <f>Setup!$B$6+7*(A18-1)</f>
        <v>46314</v>
      </c>
      <c r="C18" s="10">
        <f t="shared" si="0"/>
        <v>46320</v>
      </c>
      <c r="D18" s="11" t="s">
        <v>20</v>
      </c>
      <c r="E18" s="11" t="s">
        <v>66</v>
      </c>
      <c r="F18" s="11" t="s">
        <v>67</v>
      </c>
      <c r="G18" s="12">
        <f>Setup!$B$7</f>
        <v>8</v>
      </c>
      <c r="H18" s="12">
        <f>SUMIF('Practice Log'!$B$5:$B$204,A18,'Practice Log'!$G$5:$G$204)</f>
        <v>0</v>
      </c>
      <c r="I18" s="13" t="str">
        <f t="shared" ca="1" si="1"/>
        <v>Upcoming</v>
      </c>
      <c r="J18" s="5">
        <f>IFERROR(AVERAGEIF('Topic Checklist'!$B$5:$B$134,A18,'Topic Checklist'!$I$5:$I$134),0)</f>
        <v>0</v>
      </c>
      <c r="K18" s="14">
        <f t="shared" si="2"/>
        <v>-8</v>
      </c>
      <c r="L18" s="11"/>
    </row>
    <row r="19" spans="1:12" ht="38" customHeight="1">
      <c r="A19" s="1">
        <v>15</v>
      </c>
      <c r="B19" s="10">
        <f>Setup!$B$6+7*(A19-1)</f>
        <v>46321</v>
      </c>
      <c r="C19" s="10">
        <f t="shared" si="0"/>
        <v>46327</v>
      </c>
      <c r="D19" s="11" t="s">
        <v>20</v>
      </c>
      <c r="E19" s="11" t="s">
        <v>68</v>
      </c>
      <c r="F19" s="11" t="s">
        <v>69</v>
      </c>
      <c r="G19" s="12">
        <f>Setup!$B$7</f>
        <v>8</v>
      </c>
      <c r="H19" s="12">
        <f>SUMIF('Practice Log'!$B$5:$B$204,A19,'Practice Log'!$G$5:$G$204)</f>
        <v>0</v>
      </c>
      <c r="I19" s="13" t="str">
        <f t="shared" ca="1" si="1"/>
        <v>Upcoming</v>
      </c>
      <c r="J19" s="5">
        <f>IFERROR(AVERAGEIF('Topic Checklist'!$B$5:$B$134,A19,'Topic Checklist'!$I$5:$I$134),0)</f>
        <v>0</v>
      </c>
      <c r="K19" s="14">
        <f t="shared" si="2"/>
        <v>-8</v>
      </c>
      <c r="L19" s="11"/>
    </row>
    <row r="20" spans="1:12" ht="38" customHeight="1">
      <c r="A20" s="1">
        <v>16</v>
      </c>
      <c r="B20" s="10">
        <f>Setup!$B$6+7*(A20-1)</f>
        <v>46328</v>
      </c>
      <c r="C20" s="10">
        <f t="shared" si="0"/>
        <v>46334</v>
      </c>
      <c r="D20" s="11" t="s">
        <v>20</v>
      </c>
      <c r="E20" s="11" t="s">
        <v>70</v>
      </c>
      <c r="F20" s="11" t="s">
        <v>71</v>
      </c>
      <c r="G20" s="12">
        <f>Setup!$B$7</f>
        <v>8</v>
      </c>
      <c r="H20" s="12">
        <f>SUMIF('Practice Log'!$B$5:$B$204,A20,'Practice Log'!$G$5:$G$204)</f>
        <v>0</v>
      </c>
      <c r="I20" s="13" t="str">
        <f t="shared" ca="1" si="1"/>
        <v>Upcoming</v>
      </c>
      <c r="J20" s="5">
        <f>IFERROR(AVERAGEIF('Topic Checklist'!$B$5:$B$134,A20,'Topic Checklist'!$I$5:$I$134),0)</f>
        <v>0</v>
      </c>
      <c r="K20" s="14">
        <f t="shared" si="2"/>
        <v>-8</v>
      </c>
      <c r="L20" s="11"/>
    </row>
    <row r="21" spans="1:12" ht="38" customHeight="1">
      <c r="A21" s="1">
        <v>17</v>
      </c>
      <c r="B21" s="10">
        <f>Setup!$B$6+7*(A21-1)</f>
        <v>46335</v>
      </c>
      <c r="C21" s="10">
        <f t="shared" si="0"/>
        <v>46341</v>
      </c>
      <c r="D21" s="11" t="s">
        <v>21</v>
      </c>
      <c r="E21" s="11" t="s">
        <v>72</v>
      </c>
      <c r="F21" s="11" t="s">
        <v>73</v>
      </c>
      <c r="G21" s="12">
        <f>Setup!$B$7</f>
        <v>8</v>
      </c>
      <c r="H21" s="12">
        <f>SUMIF('Practice Log'!$B$5:$B$204,A21,'Practice Log'!$G$5:$G$204)</f>
        <v>0</v>
      </c>
      <c r="I21" s="13" t="str">
        <f t="shared" ca="1" si="1"/>
        <v>Upcoming</v>
      </c>
      <c r="J21" s="5">
        <f>IFERROR(AVERAGEIF('Topic Checklist'!$B$5:$B$134,A21,'Topic Checklist'!$I$5:$I$134),0)</f>
        <v>0</v>
      </c>
      <c r="K21" s="14">
        <f t="shared" si="2"/>
        <v>-8</v>
      </c>
      <c r="L21" s="11"/>
    </row>
    <row r="22" spans="1:12" ht="38" customHeight="1">
      <c r="A22" s="1">
        <v>18</v>
      </c>
      <c r="B22" s="10">
        <f>Setup!$B$6+7*(A22-1)</f>
        <v>46342</v>
      </c>
      <c r="C22" s="10">
        <f t="shared" si="0"/>
        <v>46348</v>
      </c>
      <c r="D22" s="11" t="s">
        <v>21</v>
      </c>
      <c r="E22" s="11" t="s">
        <v>74</v>
      </c>
      <c r="F22" s="11" t="s">
        <v>75</v>
      </c>
      <c r="G22" s="12">
        <f>Setup!$B$7</f>
        <v>8</v>
      </c>
      <c r="H22" s="12">
        <f>SUMIF('Practice Log'!$B$5:$B$204,A22,'Practice Log'!$G$5:$G$204)</f>
        <v>0</v>
      </c>
      <c r="I22" s="13" t="str">
        <f t="shared" ca="1" si="1"/>
        <v>Upcoming</v>
      </c>
      <c r="J22" s="5">
        <f>IFERROR(AVERAGEIF('Topic Checklist'!$B$5:$B$134,A22,'Topic Checklist'!$I$5:$I$134),0)</f>
        <v>0</v>
      </c>
      <c r="K22" s="14">
        <f t="shared" si="2"/>
        <v>-8</v>
      </c>
      <c r="L22" s="11"/>
    </row>
    <row r="23" spans="1:12" ht="38" customHeight="1">
      <c r="A23" s="1">
        <v>19</v>
      </c>
      <c r="B23" s="10">
        <f>Setup!$B$6+7*(A23-1)</f>
        <v>46349</v>
      </c>
      <c r="C23" s="10">
        <f t="shared" si="0"/>
        <v>46355</v>
      </c>
      <c r="D23" s="11" t="s">
        <v>21</v>
      </c>
      <c r="E23" s="11" t="s">
        <v>76</v>
      </c>
      <c r="F23" s="11" t="s">
        <v>77</v>
      </c>
      <c r="G23" s="12">
        <f>Setup!$B$7</f>
        <v>8</v>
      </c>
      <c r="H23" s="12">
        <f>SUMIF('Practice Log'!$B$5:$B$204,A23,'Practice Log'!$G$5:$G$204)</f>
        <v>0</v>
      </c>
      <c r="I23" s="13" t="str">
        <f t="shared" ca="1" si="1"/>
        <v>Upcoming</v>
      </c>
      <c r="J23" s="5">
        <f>IFERROR(AVERAGEIF('Topic Checklist'!$B$5:$B$134,A23,'Topic Checklist'!$I$5:$I$134),0)</f>
        <v>0</v>
      </c>
      <c r="K23" s="14">
        <f t="shared" si="2"/>
        <v>-8</v>
      </c>
      <c r="L23" s="11"/>
    </row>
    <row r="24" spans="1:12" ht="38" customHeight="1">
      <c r="A24" s="1">
        <v>20</v>
      </c>
      <c r="B24" s="10">
        <f>Setup!$B$6+7*(A24-1)</f>
        <v>46356</v>
      </c>
      <c r="C24" s="10">
        <f t="shared" si="0"/>
        <v>46362</v>
      </c>
      <c r="D24" s="11" t="s">
        <v>21</v>
      </c>
      <c r="E24" s="11" t="s">
        <v>78</v>
      </c>
      <c r="F24" s="11" t="s">
        <v>79</v>
      </c>
      <c r="G24" s="12">
        <f>Setup!$B$7</f>
        <v>8</v>
      </c>
      <c r="H24" s="12">
        <f>SUMIF('Practice Log'!$B$5:$B$204,A24,'Practice Log'!$G$5:$G$204)</f>
        <v>0</v>
      </c>
      <c r="I24" s="13" t="str">
        <f t="shared" ca="1" si="1"/>
        <v>Upcoming</v>
      </c>
      <c r="J24" s="5">
        <f>IFERROR(AVERAGEIF('Topic Checklist'!$B$5:$B$134,A24,'Topic Checklist'!$I$5:$I$134),0)</f>
        <v>0</v>
      </c>
      <c r="K24" s="14">
        <f t="shared" si="2"/>
        <v>-8</v>
      </c>
      <c r="L24" s="11"/>
    </row>
    <row r="25" spans="1:12" ht="38" customHeight="1">
      <c r="A25" s="1">
        <v>21</v>
      </c>
      <c r="B25" s="10">
        <f>Setup!$B$6+7*(A25-1)</f>
        <v>46363</v>
      </c>
      <c r="C25" s="10">
        <f t="shared" si="0"/>
        <v>46369</v>
      </c>
      <c r="D25" s="11" t="s">
        <v>22</v>
      </c>
      <c r="E25" s="11" t="s">
        <v>80</v>
      </c>
      <c r="F25" s="11" t="s">
        <v>81</v>
      </c>
      <c r="G25" s="12">
        <f>Setup!$B$7</f>
        <v>8</v>
      </c>
      <c r="H25" s="12">
        <f>SUMIF('Practice Log'!$B$5:$B$204,A25,'Practice Log'!$G$5:$G$204)</f>
        <v>0</v>
      </c>
      <c r="I25" s="13" t="str">
        <f t="shared" ca="1" si="1"/>
        <v>Upcoming</v>
      </c>
      <c r="J25" s="5">
        <f>IFERROR(AVERAGEIF('Topic Checklist'!$B$5:$B$134,A25,'Topic Checklist'!$I$5:$I$134),0)</f>
        <v>0</v>
      </c>
      <c r="K25" s="14">
        <f t="shared" si="2"/>
        <v>-8</v>
      </c>
      <c r="L25" s="11"/>
    </row>
    <row r="26" spans="1:12" ht="38" customHeight="1">
      <c r="A26" s="1">
        <v>22</v>
      </c>
      <c r="B26" s="10">
        <f>Setup!$B$6+7*(A26-1)</f>
        <v>46370</v>
      </c>
      <c r="C26" s="10">
        <f t="shared" si="0"/>
        <v>46376</v>
      </c>
      <c r="D26" s="11" t="s">
        <v>22</v>
      </c>
      <c r="E26" s="11" t="s">
        <v>82</v>
      </c>
      <c r="F26" s="11" t="s">
        <v>83</v>
      </c>
      <c r="G26" s="12">
        <f>Setup!$B$7</f>
        <v>8</v>
      </c>
      <c r="H26" s="12">
        <f>SUMIF('Practice Log'!$B$5:$B$204,A26,'Practice Log'!$G$5:$G$204)</f>
        <v>0</v>
      </c>
      <c r="I26" s="13" t="str">
        <f t="shared" ca="1" si="1"/>
        <v>Upcoming</v>
      </c>
      <c r="J26" s="5">
        <f>IFERROR(AVERAGEIF('Topic Checklist'!$B$5:$B$134,A26,'Topic Checklist'!$I$5:$I$134),0)</f>
        <v>0</v>
      </c>
      <c r="K26" s="14">
        <f t="shared" si="2"/>
        <v>-8</v>
      </c>
      <c r="L26" s="11"/>
    </row>
    <row r="27" spans="1:12" ht="38" customHeight="1">
      <c r="A27" s="1">
        <v>23</v>
      </c>
      <c r="B27" s="10">
        <f>Setup!$B$6+7*(A27-1)</f>
        <v>46377</v>
      </c>
      <c r="C27" s="10">
        <f t="shared" si="0"/>
        <v>46383</v>
      </c>
      <c r="D27" s="11" t="s">
        <v>23</v>
      </c>
      <c r="E27" s="11" t="s">
        <v>84</v>
      </c>
      <c r="F27" s="11" t="s">
        <v>85</v>
      </c>
      <c r="G27" s="12">
        <f>Setup!$B$7</f>
        <v>8</v>
      </c>
      <c r="H27" s="12">
        <f>SUMIF('Practice Log'!$B$5:$B$204,A27,'Practice Log'!$G$5:$G$204)</f>
        <v>0</v>
      </c>
      <c r="I27" s="13" t="str">
        <f t="shared" ca="1" si="1"/>
        <v>Upcoming</v>
      </c>
      <c r="J27" s="5">
        <f>IFERROR(AVERAGEIF('Topic Checklist'!$B$5:$B$134,A27,'Topic Checklist'!$I$5:$I$134),0)</f>
        <v>0</v>
      </c>
      <c r="K27" s="14">
        <f t="shared" si="2"/>
        <v>-8</v>
      </c>
      <c r="L27" s="11"/>
    </row>
    <row r="28" spans="1:12" ht="38" customHeight="1">
      <c r="A28" s="1">
        <v>24</v>
      </c>
      <c r="B28" s="10">
        <f>Setup!$B$6+7*(A28-1)</f>
        <v>46384</v>
      </c>
      <c r="C28" s="10">
        <f t="shared" si="0"/>
        <v>46390</v>
      </c>
      <c r="D28" s="11" t="s">
        <v>23</v>
      </c>
      <c r="E28" s="11" t="s">
        <v>86</v>
      </c>
      <c r="F28" s="11" t="s">
        <v>87</v>
      </c>
      <c r="G28" s="12">
        <f>Setup!$B$7</f>
        <v>8</v>
      </c>
      <c r="H28" s="12">
        <f>SUMIF('Practice Log'!$B$5:$B$204,A28,'Practice Log'!$G$5:$G$204)</f>
        <v>0</v>
      </c>
      <c r="I28" s="13" t="str">
        <f t="shared" ca="1" si="1"/>
        <v>Upcoming</v>
      </c>
      <c r="J28" s="5">
        <f>IFERROR(AVERAGEIF('Topic Checklist'!$B$5:$B$134,A28,'Topic Checklist'!$I$5:$I$134),0)</f>
        <v>0</v>
      </c>
      <c r="K28" s="14">
        <f t="shared" si="2"/>
        <v>-8</v>
      </c>
      <c r="L28" s="11"/>
    </row>
    <row r="29" spans="1:12" ht="38" customHeight="1">
      <c r="A29" s="1">
        <v>25</v>
      </c>
      <c r="B29" s="10">
        <f>Setup!$B$6+7*(A29-1)</f>
        <v>46391</v>
      </c>
      <c r="C29" s="10">
        <f t="shared" si="0"/>
        <v>46397</v>
      </c>
      <c r="D29" s="11" t="s">
        <v>23</v>
      </c>
      <c r="E29" s="11" t="s">
        <v>88</v>
      </c>
      <c r="F29" s="11" t="s">
        <v>89</v>
      </c>
      <c r="G29" s="12">
        <f>Setup!$B$7</f>
        <v>8</v>
      </c>
      <c r="H29" s="12">
        <f>SUMIF('Practice Log'!$B$5:$B$204,A29,'Practice Log'!$G$5:$G$204)</f>
        <v>0</v>
      </c>
      <c r="I29" s="13" t="str">
        <f t="shared" ca="1" si="1"/>
        <v>Upcoming</v>
      </c>
      <c r="J29" s="5">
        <f>IFERROR(AVERAGEIF('Topic Checklist'!$B$5:$B$134,A29,'Topic Checklist'!$I$5:$I$134),0)</f>
        <v>0</v>
      </c>
      <c r="K29" s="14">
        <f t="shared" si="2"/>
        <v>-8</v>
      </c>
      <c r="L29" s="11"/>
    </row>
    <row r="30" spans="1:12" ht="38" customHeight="1">
      <c r="A30" s="1">
        <v>26</v>
      </c>
      <c r="B30" s="10">
        <f>Setup!$B$6+7*(A30-1)</f>
        <v>46398</v>
      </c>
      <c r="C30" s="10">
        <f t="shared" si="0"/>
        <v>46404</v>
      </c>
      <c r="D30" s="11" t="s">
        <v>23</v>
      </c>
      <c r="E30" s="11" t="s">
        <v>90</v>
      </c>
      <c r="F30" s="11" t="s">
        <v>91</v>
      </c>
      <c r="G30" s="12">
        <f>Setup!$B$7</f>
        <v>8</v>
      </c>
      <c r="H30" s="12">
        <f>SUMIF('Practice Log'!$B$5:$B$204,A30,'Practice Log'!$G$5:$G$204)</f>
        <v>0</v>
      </c>
      <c r="I30" s="13" t="str">
        <f t="shared" ca="1" si="1"/>
        <v>Upcoming</v>
      </c>
      <c r="J30" s="5">
        <f>IFERROR(AVERAGEIF('Topic Checklist'!$B$5:$B$134,A30,'Topic Checklist'!$I$5:$I$134),0)</f>
        <v>0</v>
      </c>
      <c r="K30" s="14">
        <f t="shared" si="2"/>
        <v>-8</v>
      </c>
      <c r="L30" s="11"/>
    </row>
  </sheetData>
  <mergeCells count="2">
    <mergeCell ref="A1:L2"/>
    <mergeCell ref="A3:L3"/>
  </mergeCells>
  <conditionalFormatting sqref="I5:I30">
    <cfRule type="containsText" dxfId="31" priority="1" operator="containsText" text="Completed"/>
    <cfRule type="containsText" dxfId="30" priority="2" operator="containsText" text="In Progress"/>
    <cfRule type="containsText" dxfId="29" priority="8" operator="containsText" text="Partial"/>
    <cfRule type="containsText" dxfId="28" priority="4" operator="containsText" text="Blocked"/>
    <cfRule type="containsText" dxfId="27" priority="6" operator="containsText" text="Not Started"/>
  </conditionalFormatting>
  <conditionalFormatting sqref="J5:J30">
    <cfRule type="dataBar" priority="9">
      <dataBar>
        <cfvo type="min"/>
        <cfvo type="max"/>
        <color rgb="FF16A34A"/>
      </dataBar>
    </cfRule>
    <cfRule type="dataBar" priority="10">
      <dataBar>
        <cfvo type="min"/>
        <cfvo type="max"/>
        <color rgb="FF16A34A"/>
      </dataBar>
      <extLst>
        <ext xmlns:x14="http://schemas.microsoft.com/office/spreadsheetml/2009/9/main" uri="{B025F937-C7B1-47D3-B67F-A62EFF666E3E}">
          <x14:id>{6738B193-307C-DA01-C92F-53E6A04CB879}</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6738B193-307C-DA01-C92F-53E6A04CB879}">
            <x14:dataBar>
              <x14:cfvo type="min"/>
              <x14:cfvo type="max"/>
              <x14:negativeFillColor auto="1"/>
              <x14:axisColor auto="1"/>
            </x14:dataBar>
          </x14:cfRule>
          <xm:sqref>J5:J30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34"/>
  <sheetViews>
    <sheetView showGridLines="0" workbookViewId="0">
      <selection activeCell="F5" sqref="F5"/>
    </sheetView>
  </sheetViews>
  <sheetFormatPr baseColWidth="10" defaultColWidth="8.83203125" defaultRowHeight="15"/>
  <cols>
    <col min="1" max="1" width="9" customWidth="1"/>
    <col min="2" max="2" width="7" customWidth="1"/>
    <col min="3" max="3" width="23" customWidth="1"/>
    <col min="4" max="4" width="38" customWidth="1"/>
    <col min="5" max="5" width="49" customWidth="1"/>
    <col min="6" max="6" width="12" customWidth="1"/>
    <col min="7" max="7" width="14" customWidth="1"/>
    <col min="8" max="8" width="33" customWidth="1"/>
    <col min="9" max="10" width="13" customWidth="1"/>
    <col min="11" max="11" width="33" customWidth="1"/>
  </cols>
  <sheetData>
    <row r="1" spans="1:11" ht="30" customHeight="1">
      <c r="A1" s="31" t="s">
        <v>92</v>
      </c>
      <c r="B1" s="31" t="s">
        <v>92</v>
      </c>
      <c r="C1" s="31" t="s">
        <v>92</v>
      </c>
      <c r="D1" s="31" t="s">
        <v>92</v>
      </c>
      <c r="E1" s="31" t="s">
        <v>92</v>
      </c>
      <c r="F1" s="31" t="s">
        <v>92</v>
      </c>
      <c r="G1" s="31" t="s">
        <v>92</v>
      </c>
      <c r="H1" s="31" t="s">
        <v>92</v>
      </c>
      <c r="I1" s="31" t="s">
        <v>92</v>
      </c>
      <c r="J1" s="31" t="s">
        <v>92</v>
      </c>
      <c r="K1" s="31" t="s">
        <v>92</v>
      </c>
    </row>
    <row r="2" spans="1:11" ht="30" customHeight="1">
      <c r="A2" s="31" t="s">
        <v>92</v>
      </c>
      <c r="B2" s="31" t="s">
        <v>92</v>
      </c>
      <c r="C2" s="31" t="s">
        <v>92</v>
      </c>
      <c r="D2" s="31" t="s">
        <v>92</v>
      </c>
      <c r="E2" s="31" t="s">
        <v>92</v>
      </c>
      <c r="F2" s="31" t="s">
        <v>92</v>
      </c>
      <c r="G2" s="31" t="s">
        <v>92</v>
      </c>
      <c r="H2" s="31" t="s">
        <v>92</v>
      </c>
      <c r="I2" s="31" t="s">
        <v>92</v>
      </c>
      <c r="J2" s="31" t="s">
        <v>92</v>
      </c>
      <c r="K2" s="31" t="s">
        <v>92</v>
      </c>
    </row>
    <row r="3" spans="1:11" ht="22" customHeight="1">
      <c r="A3" s="32" t="s">
        <v>93</v>
      </c>
      <c r="B3" s="32" t="s">
        <v>93</v>
      </c>
      <c r="C3" s="32" t="s">
        <v>93</v>
      </c>
      <c r="D3" s="32" t="s">
        <v>93</v>
      </c>
      <c r="E3" s="32" t="s">
        <v>93</v>
      </c>
      <c r="F3" s="32" t="s">
        <v>93</v>
      </c>
      <c r="G3" s="32" t="s">
        <v>93</v>
      </c>
      <c r="H3" s="32" t="s">
        <v>93</v>
      </c>
      <c r="I3" s="32" t="s">
        <v>93</v>
      </c>
      <c r="J3" s="32" t="s">
        <v>93</v>
      </c>
      <c r="K3" s="32" t="s">
        <v>93</v>
      </c>
    </row>
    <row r="4" spans="1:11">
      <c r="A4" s="25" t="s">
        <v>94</v>
      </c>
      <c r="B4" s="26" t="s">
        <v>24</v>
      </c>
      <c r="C4" s="26" t="s">
        <v>8</v>
      </c>
      <c r="D4" s="26" t="s">
        <v>95</v>
      </c>
      <c r="E4" s="26" t="s">
        <v>96</v>
      </c>
      <c r="F4" s="26" t="s">
        <v>97</v>
      </c>
      <c r="G4" s="26" t="s">
        <v>36</v>
      </c>
      <c r="H4" s="26" t="s">
        <v>98</v>
      </c>
      <c r="I4" s="26" t="s">
        <v>14</v>
      </c>
      <c r="J4" s="26" t="s">
        <v>99</v>
      </c>
      <c r="K4" s="27" t="s">
        <v>100</v>
      </c>
    </row>
    <row r="5" spans="1:11" ht="38" customHeight="1">
      <c r="A5" s="1" t="s">
        <v>101</v>
      </c>
      <c r="B5" s="1">
        <v>1</v>
      </c>
      <c r="C5" s="11" t="s">
        <v>17</v>
      </c>
      <c r="D5" s="11" t="s">
        <v>102</v>
      </c>
      <c r="E5" s="11" t="s">
        <v>103</v>
      </c>
      <c r="F5" s="11" t="s">
        <v>104</v>
      </c>
      <c r="G5" s="11" t="s">
        <v>601</v>
      </c>
      <c r="H5" s="11"/>
      <c r="I5" s="5">
        <v>0.1</v>
      </c>
      <c r="J5" s="10">
        <f>Setup!$B$6+(B5*7)-1</f>
        <v>46229</v>
      </c>
      <c r="K5" s="11"/>
    </row>
    <row r="6" spans="1:11" ht="38" customHeight="1">
      <c r="A6" s="1" t="s">
        <v>106</v>
      </c>
      <c r="B6" s="1">
        <v>1</v>
      </c>
      <c r="C6" s="11" t="s">
        <v>17</v>
      </c>
      <c r="D6" s="11" t="s">
        <v>107</v>
      </c>
      <c r="E6" s="11" t="s">
        <v>108</v>
      </c>
      <c r="F6" s="11" t="s">
        <v>104</v>
      </c>
      <c r="G6" s="11" t="s">
        <v>105</v>
      </c>
      <c r="H6" s="11"/>
      <c r="I6" s="5">
        <f t="shared" ref="I5:I36" si="0">IF(G6="Completed",1,IF(G6="In Progress",0.5,IF(G6="Blocked",0.25,0)))</f>
        <v>0</v>
      </c>
      <c r="J6" s="10">
        <f>Setup!$B$6+(B6*7)-1</f>
        <v>46229</v>
      </c>
      <c r="K6" s="11"/>
    </row>
    <row r="7" spans="1:11" ht="38" customHeight="1">
      <c r="A7" s="1" t="s">
        <v>109</v>
      </c>
      <c r="B7" s="1">
        <v>1</v>
      </c>
      <c r="C7" s="11" t="s">
        <v>17</v>
      </c>
      <c r="D7" s="11" t="s">
        <v>110</v>
      </c>
      <c r="E7" s="11" t="s">
        <v>111</v>
      </c>
      <c r="F7" s="11" t="s">
        <v>104</v>
      </c>
      <c r="G7" s="11" t="s">
        <v>105</v>
      </c>
      <c r="H7" s="11"/>
      <c r="I7" s="5">
        <f t="shared" si="0"/>
        <v>0</v>
      </c>
      <c r="J7" s="10">
        <f>Setup!$B$6+(B7*7)-1</f>
        <v>46229</v>
      </c>
      <c r="K7" s="11"/>
    </row>
    <row r="8" spans="1:11" ht="38" customHeight="1">
      <c r="A8" s="1" t="s">
        <v>112</v>
      </c>
      <c r="B8" s="1">
        <v>1</v>
      </c>
      <c r="C8" s="11" t="s">
        <v>17</v>
      </c>
      <c r="D8" s="11" t="s">
        <v>113</v>
      </c>
      <c r="E8" s="11" t="s">
        <v>114</v>
      </c>
      <c r="F8" s="11" t="s">
        <v>104</v>
      </c>
      <c r="G8" s="11" t="s">
        <v>105</v>
      </c>
      <c r="H8" s="11"/>
      <c r="I8" s="5">
        <f t="shared" si="0"/>
        <v>0</v>
      </c>
      <c r="J8" s="10">
        <f>Setup!$B$6+(B8*7)-1</f>
        <v>46229</v>
      </c>
      <c r="K8" s="11"/>
    </row>
    <row r="9" spans="1:11" ht="38" customHeight="1">
      <c r="A9" s="1" t="s">
        <v>115</v>
      </c>
      <c r="B9" s="1">
        <v>1</v>
      </c>
      <c r="C9" s="11" t="s">
        <v>17</v>
      </c>
      <c r="D9" s="11" t="s">
        <v>116</v>
      </c>
      <c r="E9" s="11" t="s">
        <v>117</v>
      </c>
      <c r="F9" s="11" t="s">
        <v>104</v>
      </c>
      <c r="G9" s="11" t="s">
        <v>105</v>
      </c>
      <c r="H9" s="11"/>
      <c r="I9" s="5">
        <f t="shared" si="0"/>
        <v>0</v>
      </c>
      <c r="J9" s="10">
        <f>Setup!$B$6+(B9*7)-1</f>
        <v>46229</v>
      </c>
      <c r="K9" s="11"/>
    </row>
    <row r="10" spans="1:11" ht="38" customHeight="1">
      <c r="A10" s="1" t="s">
        <v>118</v>
      </c>
      <c r="B10" s="1">
        <v>2</v>
      </c>
      <c r="C10" s="11" t="s">
        <v>17</v>
      </c>
      <c r="D10" s="11" t="s">
        <v>119</v>
      </c>
      <c r="E10" s="11" t="s">
        <v>120</v>
      </c>
      <c r="F10" s="11" t="s">
        <v>104</v>
      </c>
      <c r="G10" s="11" t="s">
        <v>105</v>
      </c>
      <c r="H10" s="11"/>
      <c r="I10" s="5">
        <f t="shared" si="0"/>
        <v>0</v>
      </c>
      <c r="J10" s="10">
        <f>Setup!$B$6+(B10*7)-1</f>
        <v>46236</v>
      </c>
      <c r="K10" s="11"/>
    </row>
    <row r="11" spans="1:11" ht="38" customHeight="1">
      <c r="A11" s="1" t="s">
        <v>121</v>
      </c>
      <c r="B11" s="1">
        <v>2</v>
      </c>
      <c r="C11" s="11" t="s">
        <v>17</v>
      </c>
      <c r="D11" s="11" t="s">
        <v>122</v>
      </c>
      <c r="E11" s="11" t="s">
        <v>123</v>
      </c>
      <c r="F11" s="11" t="s">
        <v>104</v>
      </c>
      <c r="G11" s="11" t="s">
        <v>105</v>
      </c>
      <c r="H11" s="11"/>
      <c r="I11" s="5">
        <f t="shared" si="0"/>
        <v>0</v>
      </c>
      <c r="J11" s="10">
        <f>Setup!$B$6+(B11*7)-1</f>
        <v>46236</v>
      </c>
      <c r="K11" s="11"/>
    </row>
    <row r="12" spans="1:11" ht="38" customHeight="1">
      <c r="A12" s="1" t="s">
        <v>124</v>
      </c>
      <c r="B12" s="1">
        <v>2</v>
      </c>
      <c r="C12" s="11" t="s">
        <v>17</v>
      </c>
      <c r="D12" s="11" t="s">
        <v>125</v>
      </c>
      <c r="E12" s="11" t="s">
        <v>126</v>
      </c>
      <c r="F12" s="11" t="s">
        <v>104</v>
      </c>
      <c r="G12" s="11" t="s">
        <v>105</v>
      </c>
      <c r="H12" s="11"/>
      <c r="I12" s="5">
        <f t="shared" si="0"/>
        <v>0</v>
      </c>
      <c r="J12" s="10">
        <f>Setup!$B$6+(B12*7)-1</f>
        <v>46236</v>
      </c>
      <c r="K12" s="11"/>
    </row>
    <row r="13" spans="1:11" ht="38" customHeight="1">
      <c r="A13" s="1" t="s">
        <v>127</v>
      </c>
      <c r="B13" s="1">
        <v>2</v>
      </c>
      <c r="C13" s="11" t="s">
        <v>17</v>
      </c>
      <c r="D13" s="11" t="s">
        <v>128</v>
      </c>
      <c r="E13" s="11" t="s">
        <v>129</v>
      </c>
      <c r="F13" s="11" t="s">
        <v>104</v>
      </c>
      <c r="G13" s="11" t="s">
        <v>105</v>
      </c>
      <c r="H13" s="11"/>
      <c r="I13" s="5">
        <f t="shared" si="0"/>
        <v>0</v>
      </c>
      <c r="J13" s="10">
        <f>Setup!$B$6+(B13*7)-1</f>
        <v>46236</v>
      </c>
      <c r="K13" s="11"/>
    </row>
    <row r="14" spans="1:11" ht="38" customHeight="1">
      <c r="A14" s="1" t="s">
        <v>130</v>
      </c>
      <c r="B14" s="1">
        <v>2</v>
      </c>
      <c r="C14" s="11" t="s">
        <v>17</v>
      </c>
      <c r="D14" s="11" t="s">
        <v>131</v>
      </c>
      <c r="E14" s="11" t="s">
        <v>132</v>
      </c>
      <c r="F14" s="11" t="s">
        <v>133</v>
      </c>
      <c r="G14" s="11" t="s">
        <v>105</v>
      </c>
      <c r="H14" s="11"/>
      <c r="I14" s="5">
        <f t="shared" si="0"/>
        <v>0</v>
      </c>
      <c r="J14" s="10">
        <f>Setup!$B$6+(B14*7)-1</f>
        <v>46236</v>
      </c>
      <c r="K14" s="11"/>
    </row>
    <row r="15" spans="1:11" ht="38" customHeight="1">
      <c r="A15" s="1" t="s">
        <v>134</v>
      </c>
      <c r="B15" s="1">
        <v>3</v>
      </c>
      <c r="C15" s="11" t="s">
        <v>17</v>
      </c>
      <c r="D15" s="11" t="s">
        <v>135</v>
      </c>
      <c r="E15" s="11" t="s">
        <v>136</v>
      </c>
      <c r="F15" s="11" t="s">
        <v>104</v>
      </c>
      <c r="G15" s="11" t="s">
        <v>105</v>
      </c>
      <c r="H15" s="11"/>
      <c r="I15" s="5">
        <f t="shared" si="0"/>
        <v>0</v>
      </c>
      <c r="J15" s="10">
        <f>Setup!$B$6+(B15*7)-1</f>
        <v>46243</v>
      </c>
      <c r="K15" s="11"/>
    </row>
    <row r="16" spans="1:11" ht="38" customHeight="1">
      <c r="A16" s="1" t="s">
        <v>137</v>
      </c>
      <c r="B16" s="1">
        <v>3</v>
      </c>
      <c r="C16" s="11" t="s">
        <v>17</v>
      </c>
      <c r="D16" s="11" t="s">
        <v>138</v>
      </c>
      <c r="E16" s="11" t="s">
        <v>139</v>
      </c>
      <c r="F16" s="11" t="s">
        <v>104</v>
      </c>
      <c r="G16" s="11" t="s">
        <v>105</v>
      </c>
      <c r="H16" s="11"/>
      <c r="I16" s="5">
        <f t="shared" si="0"/>
        <v>0</v>
      </c>
      <c r="J16" s="10">
        <f>Setup!$B$6+(B16*7)-1</f>
        <v>46243</v>
      </c>
      <c r="K16" s="11"/>
    </row>
    <row r="17" spans="1:11" ht="38" customHeight="1">
      <c r="A17" s="1" t="s">
        <v>140</v>
      </c>
      <c r="B17" s="1">
        <v>3</v>
      </c>
      <c r="C17" s="11" t="s">
        <v>17</v>
      </c>
      <c r="D17" s="11" t="s">
        <v>141</v>
      </c>
      <c r="E17" s="11" t="s">
        <v>142</v>
      </c>
      <c r="F17" s="11" t="s">
        <v>104</v>
      </c>
      <c r="G17" s="11" t="s">
        <v>105</v>
      </c>
      <c r="H17" s="11"/>
      <c r="I17" s="5">
        <f t="shared" si="0"/>
        <v>0</v>
      </c>
      <c r="J17" s="10">
        <f>Setup!$B$6+(B17*7)-1</f>
        <v>46243</v>
      </c>
      <c r="K17" s="11"/>
    </row>
    <row r="18" spans="1:11" ht="38" customHeight="1">
      <c r="A18" s="1" t="s">
        <v>143</v>
      </c>
      <c r="B18" s="1">
        <v>3</v>
      </c>
      <c r="C18" s="11" t="s">
        <v>17</v>
      </c>
      <c r="D18" s="11" t="s">
        <v>144</v>
      </c>
      <c r="E18" s="11" t="s">
        <v>145</v>
      </c>
      <c r="F18" s="11" t="s">
        <v>104</v>
      </c>
      <c r="G18" s="11" t="s">
        <v>105</v>
      </c>
      <c r="H18" s="11"/>
      <c r="I18" s="5">
        <f t="shared" si="0"/>
        <v>0</v>
      </c>
      <c r="J18" s="10">
        <f>Setup!$B$6+(B18*7)-1</f>
        <v>46243</v>
      </c>
      <c r="K18" s="11"/>
    </row>
    <row r="19" spans="1:11" ht="38" customHeight="1">
      <c r="A19" s="1" t="s">
        <v>146</v>
      </c>
      <c r="B19" s="1">
        <v>3</v>
      </c>
      <c r="C19" s="11" t="s">
        <v>17</v>
      </c>
      <c r="D19" s="11" t="s">
        <v>147</v>
      </c>
      <c r="E19" s="11" t="s">
        <v>148</v>
      </c>
      <c r="F19" s="11" t="s">
        <v>133</v>
      </c>
      <c r="G19" s="11" t="s">
        <v>105</v>
      </c>
      <c r="H19" s="11"/>
      <c r="I19" s="5">
        <f t="shared" si="0"/>
        <v>0</v>
      </c>
      <c r="J19" s="10">
        <f>Setup!$B$6+(B19*7)-1</f>
        <v>46243</v>
      </c>
      <c r="K19" s="11"/>
    </row>
    <row r="20" spans="1:11" ht="38" customHeight="1">
      <c r="A20" s="1" t="s">
        <v>149</v>
      </c>
      <c r="B20" s="1">
        <v>4</v>
      </c>
      <c r="C20" s="11" t="s">
        <v>17</v>
      </c>
      <c r="D20" s="11" t="s">
        <v>150</v>
      </c>
      <c r="E20" s="11" t="s">
        <v>151</v>
      </c>
      <c r="F20" s="11" t="s">
        <v>104</v>
      </c>
      <c r="G20" s="11" t="s">
        <v>105</v>
      </c>
      <c r="H20" s="11"/>
      <c r="I20" s="5">
        <f t="shared" si="0"/>
        <v>0</v>
      </c>
      <c r="J20" s="10">
        <f>Setup!$B$6+(B20*7)-1</f>
        <v>46250</v>
      </c>
      <c r="K20" s="11"/>
    </row>
    <row r="21" spans="1:11" ht="38" customHeight="1">
      <c r="A21" s="1" t="s">
        <v>152</v>
      </c>
      <c r="B21" s="1">
        <v>4</v>
      </c>
      <c r="C21" s="11" t="s">
        <v>17</v>
      </c>
      <c r="D21" s="11" t="s">
        <v>153</v>
      </c>
      <c r="E21" s="11" t="s">
        <v>154</v>
      </c>
      <c r="F21" s="11" t="s">
        <v>104</v>
      </c>
      <c r="G21" s="11" t="s">
        <v>105</v>
      </c>
      <c r="H21" s="11"/>
      <c r="I21" s="5">
        <f t="shared" si="0"/>
        <v>0</v>
      </c>
      <c r="J21" s="10">
        <f>Setup!$B$6+(B21*7)-1</f>
        <v>46250</v>
      </c>
      <c r="K21" s="11"/>
    </row>
    <row r="22" spans="1:11" ht="38" customHeight="1">
      <c r="A22" s="1" t="s">
        <v>155</v>
      </c>
      <c r="B22" s="1">
        <v>4</v>
      </c>
      <c r="C22" s="11" t="s">
        <v>17</v>
      </c>
      <c r="D22" s="11" t="s">
        <v>156</v>
      </c>
      <c r="E22" s="11" t="s">
        <v>157</v>
      </c>
      <c r="F22" s="11" t="s">
        <v>133</v>
      </c>
      <c r="G22" s="11" t="s">
        <v>105</v>
      </c>
      <c r="H22" s="11"/>
      <c r="I22" s="5">
        <f t="shared" si="0"/>
        <v>0</v>
      </c>
      <c r="J22" s="10">
        <f>Setup!$B$6+(B22*7)-1</f>
        <v>46250</v>
      </c>
      <c r="K22" s="11"/>
    </row>
    <row r="23" spans="1:11" ht="38" customHeight="1">
      <c r="A23" s="1" t="s">
        <v>158</v>
      </c>
      <c r="B23" s="1">
        <v>4</v>
      </c>
      <c r="C23" s="11" t="s">
        <v>17</v>
      </c>
      <c r="D23" s="11" t="s">
        <v>159</v>
      </c>
      <c r="E23" s="11" t="s">
        <v>160</v>
      </c>
      <c r="F23" s="11" t="s">
        <v>104</v>
      </c>
      <c r="G23" s="11" t="s">
        <v>105</v>
      </c>
      <c r="H23" s="11"/>
      <c r="I23" s="5">
        <f t="shared" si="0"/>
        <v>0</v>
      </c>
      <c r="J23" s="10">
        <f>Setup!$B$6+(B23*7)-1</f>
        <v>46250</v>
      </c>
      <c r="K23" s="11"/>
    </row>
    <row r="24" spans="1:11" ht="38" customHeight="1">
      <c r="A24" s="1" t="s">
        <v>161</v>
      </c>
      <c r="B24" s="1">
        <v>4</v>
      </c>
      <c r="C24" s="11" t="s">
        <v>17</v>
      </c>
      <c r="D24" s="11" t="s">
        <v>162</v>
      </c>
      <c r="E24" s="11" t="s">
        <v>163</v>
      </c>
      <c r="F24" s="11" t="s">
        <v>104</v>
      </c>
      <c r="G24" s="11" t="s">
        <v>105</v>
      </c>
      <c r="H24" s="11"/>
      <c r="I24" s="5">
        <f t="shared" si="0"/>
        <v>0</v>
      </c>
      <c r="J24" s="10">
        <f>Setup!$B$6+(B24*7)-1</f>
        <v>46250</v>
      </c>
      <c r="K24" s="11"/>
    </row>
    <row r="25" spans="1:11" ht="38" customHeight="1">
      <c r="A25" s="1" t="s">
        <v>164</v>
      </c>
      <c r="B25" s="1">
        <v>5</v>
      </c>
      <c r="C25" s="11" t="s">
        <v>18</v>
      </c>
      <c r="D25" s="11" t="s">
        <v>165</v>
      </c>
      <c r="E25" s="11" t="s">
        <v>166</v>
      </c>
      <c r="F25" s="11" t="s">
        <v>104</v>
      </c>
      <c r="G25" s="11" t="s">
        <v>105</v>
      </c>
      <c r="H25" s="11"/>
      <c r="I25" s="5">
        <f t="shared" si="0"/>
        <v>0</v>
      </c>
      <c r="J25" s="10">
        <f>Setup!$B$6+(B25*7)-1</f>
        <v>46257</v>
      </c>
      <c r="K25" s="11"/>
    </row>
    <row r="26" spans="1:11" ht="38" customHeight="1">
      <c r="A26" s="1" t="s">
        <v>167</v>
      </c>
      <c r="B26" s="1">
        <v>5</v>
      </c>
      <c r="C26" s="11" t="s">
        <v>18</v>
      </c>
      <c r="D26" s="11" t="s">
        <v>168</v>
      </c>
      <c r="E26" s="11" t="s">
        <v>169</v>
      </c>
      <c r="F26" s="11" t="s">
        <v>104</v>
      </c>
      <c r="G26" s="11" t="s">
        <v>105</v>
      </c>
      <c r="H26" s="11"/>
      <c r="I26" s="5">
        <f t="shared" si="0"/>
        <v>0</v>
      </c>
      <c r="J26" s="10">
        <f>Setup!$B$6+(B26*7)-1</f>
        <v>46257</v>
      </c>
      <c r="K26" s="11"/>
    </row>
    <row r="27" spans="1:11" ht="38" customHeight="1">
      <c r="A27" s="1" t="s">
        <v>170</v>
      </c>
      <c r="B27" s="1">
        <v>5</v>
      </c>
      <c r="C27" s="11" t="s">
        <v>18</v>
      </c>
      <c r="D27" s="11" t="s">
        <v>171</v>
      </c>
      <c r="E27" s="11" t="s">
        <v>172</v>
      </c>
      <c r="F27" s="11" t="s">
        <v>104</v>
      </c>
      <c r="G27" s="11" t="s">
        <v>105</v>
      </c>
      <c r="H27" s="11"/>
      <c r="I27" s="5">
        <f t="shared" si="0"/>
        <v>0</v>
      </c>
      <c r="J27" s="10">
        <f>Setup!$B$6+(B27*7)-1</f>
        <v>46257</v>
      </c>
      <c r="K27" s="11"/>
    </row>
    <row r="28" spans="1:11" ht="38" customHeight="1">
      <c r="A28" s="1" t="s">
        <v>173</v>
      </c>
      <c r="B28" s="1">
        <v>5</v>
      </c>
      <c r="C28" s="11" t="s">
        <v>18</v>
      </c>
      <c r="D28" s="11" t="s">
        <v>174</v>
      </c>
      <c r="E28" s="11" t="s">
        <v>175</v>
      </c>
      <c r="F28" s="11" t="s">
        <v>133</v>
      </c>
      <c r="G28" s="11" t="s">
        <v>105</v>
      </c>
      <c r="H28" s="11"/>
      <c r="I28" s="5">
        <f t="shared" si="0"/>
        <v>0</v>
      </c>
      <c r="J28" s="10">
        <f>Setup!$B$6+(B28*7)-1</f>
        <v>46257</v>
      </c>
      <c r="K28" s="11"/>
    </row>
    <row r="29" spans="1:11" ht="38" customHeight="1">
      <c r="A29" s="1" t="s">
        <v>176</v>
      </c>
      <c r="B29" s="1">
        <v>5</v>
      </c>
      <c r="C29" s="11" t="s">
        <v>18</v>
      </c>
      <c r="D29" s="11" t="s">
        <v>177</v>
      </c>
      <c r="E29" s="11" t="s">
        <v>178</v>
      </c>
      <c r="F29" s="11" t="s">
        <v>133</v>
      </c>
      <c r="G29" s="11" t="s">
        <v>105</v>
      </c>
      <c r="H29" s="11"/>
      <c r="I29" s="5">
        <f t="shared" si="0"/>
        <v>0</v>
      </c>
      <c r="J29" s="10">
        <f>Setup!$B$6+(B29*7)-1</f>
        <v>46257</v>
      </c>
      <c r="K29" s="11"/>
    </row>
    <row r="30" spans="1:11" ht="38" customHeight="1">
      <c r="A30" s="1" t="s">
        <v>179</v>
      </c>
      <c r="B30" s="1">
        <v>6</v>
      </c>
      <c r="C30" s="11" t="s">
        <v>18</v>
      </c>
      <c r="D30" s="11" t="s">
        <v>180</v>
      </c>
      <c r="E30" s="11" t="s">
        <v>181</v>
      </c>
      <c r="F30" s="11" t="s">
        <v>104</v>
      </c>
      <c r="G30" s="11" t="s">
        <v>105</v>
      </c>
      <c r="H30" s="11"/>
      <c r="I30" s="5">
        <f t="shared" si="0"/>
        <v>0</v>
      </c>
      <c r="J30" s="10">
        <f>Setup!$B$6+(B30*7)-1</f>
        <v>46264</v>
      </c>
      <c r="K30" s="11"/>
    </row>
    <row r="31" spans="1:11" ht="38" customHeight="1">
      <c r="A31" s="1" t="s">
        <v>182</v>
      </c>
      <c r="B31" s="1">
        <v>6</v>
      </c>
      <c r="C31" s="11" t="s">
        <v>18</v>
      </c>
      <c r="D31" s="11" t="s">
        <v>183</v>
      </c>
      <c r="E31" s="11" t="s">
        <v>184</v>
      </c>
      <c r="F31" s="11" t="s">
        <v>104</v>
      </c>
      <c r="G31" s="11" t="s">
        <v>105</v>
      </c>
      <c r="H31" s="11"/>
      <c r="I31" s="5">
        <f t="shared" si="0"/>
        <v>0</v>
      </c>
      <c r="J31" s="10">
        <f>Setup!$B$6+(B31*7)-1</f>
        <v>46264</v>
      </c>
      <c r="K31" s="11"/>
    </row>
    <row r="32" spans="1:11" ht="38" customHeight="1">
      <c r="A32" s="1" t="s">
        <v>185</v>
      </c>
      <c r="B32" s="1">
        <v>6</v>
      </c>
      <c r="C32" s="11" t="s">
        <v>18</v>
      </c>
      <c r="D32" s="11" t="s">
        <v>186</v>
      </c>
      <c r="E32" s="11" t="s">
        <v>187</v>
      </c>
      <c r="F32" s="11" t="s">
        <v>133</v>
      </c>
      <c r="G32" s="11" t="s">
        <v>105</v>
      </c>
      <c r="H32" s="11"/>
      <c r="I32" s="5">
        <f t="shared" si="0"/>
        <v>0</v>
      </c>
      <c r="J32" s="10">
        <f>Setup!$B$6+(B32*7)-1</f>
        <v>46264</v>
      </c>
      <c r="K32" s="11"/>
    </row>
    <row r="33" spans="1:11" ht="38" customHeight="1">
      <c r="A33" s="1" t="s">
        <v>188</v>
      </c>
      <c r="B33" s="1">
        <v>6</v>
      </c>
      <c r="C33" s="11" t="s">
        <v>18</v>
      </c>
      <c r="D33" s="11" t="s">
        <v>189</v>
      </c>
      <c r="E33" s="11" t="s">
        <v>190</v>
      </c>
      <c r="F33" s="11" t="s">
        <v>133</v>
      </c>
      <c r="G33" s="11" t="s">
        <v>105</v>
      </c>
      <c r="H33" s="11"/>
      <c r="I33" s="5">
        <f t="shared" si="0"/>
        <v>0</v>
      </c>
      <c r="J33" s="10">
        <f>Setup!$B$6+(B33*7)-1</f>
        <v>46264</v>
      </c>
      <c r="K33" s="11"/>
    </row>
    <row r="34" spans="1:11" ht="38" customHeight="1">
      <c r="A34" s="1" t="s">
        <v>191</v>
      </c>
      <c r="B34" s="1">
        <v>6</v>
      </c>
      <c r="C34" s="11" t="s">
        <v>18</v>
      </c>
      <c r="D34" s="11" t="s">
        <v>192</v>
      </c>
      <c r="E34" s="11" t="s">
        <v>193</v>
      </c>
      <c r="F34" s="11" t="s">
        <v>104</v>
      </c>
      <c r="G34" s="11" t="s">
        <v>105</v>
      </c>
      <c r="H34" s="11"/>
      <c r="I34" s="5">
        <f t="shared" si="0"/>
        <v>0</v>
      </c>
      <c r="J34" s="10">
        <f>Setup!$B$6+(B34*7)-1</f>
        <v>46264</v>
      </c>
      <c r="K34" s="11"/>
    </row>
    <row r="35" spans="1:11" ht="38" customHeight="1">
      <c r="A35" s="1" t="s">
        <v>194</v>
      </c>
      <c r="B35" s="1">
        <v>7</v>
      </c>
      <c r="C35" s="11" t="s">
        <v>18</v>
      </c>
      <c r="D35" s="11" t="s">
        <v>195</v>
      </c>
      <c r="E35" s="11" t="s">
        <v>196</v>
      </c>
      <c r="F35" s="11" t="s">
        <v>104</v>
      </c>
      <c r="G35" s="11" t="s">
        <v>105</v>
      </c>
      <c r="H35" s="11"/>
      <c r="I35" s="5">
        <f t="shared" si="0"/>
        <v>0</v>
      </c>
      <c r="J35" s="10">
        <f>Setup!$B$6+(B35*7)-1</f>
        <v>46271</v>
      </c>
      <c r="K35" s="11"/>
    </row>
    <row r="36" spans="1:11" ht="38" customHeight="1">
      <c r="A36" s="1" t="s">
        <v>197</v>
      </c>
      <c r="B36" s="1">
        <v>7</v>
      </c>
      <c r="C36" s="11" t="s">
        <v>18</v>
      </c>
      <c r="D36" s="11" t="s">
        <v>198</v>
      </c>
      <c r="E36" s="11" t="s">
        <v>199</v>
      </c>
      <c r="F36" s="11" t="s">
        <v>104</v>
      </c>
      <c r="G36" s="11" t="s">
        <v>105</v>
      </c>
      <c r="H36" s="11"/>
      <c r="I36" s="5">
        <f t="shared" si="0"/>
        <v>0</v>
      </c>
      <c r="J36" s="10">
        <f>Setup!$B$6+(B36*7)-1</f>
        <v>46271</v>
      </c>
      <c r="K36" s="11"/>
    </row>
    <row r="37" spans="1:11" ht="38" customHeight="1">
      <c r="A37" s="1" t="s">
        <v>200</v>
      </c>
      <c r="B37" s="1">
        <v>7</v>
      </c>
      <c r="C37" s="11" t="s">
        <v>18</v>
      </c>
      <c r="D37" s="11" t="s">
        <v>201</v>
      </c>
      <c r="E37" s="11" t="s">
        <v>202</v>
      </c>
      <c r="F37" s="11" t="s">
        <v>104</v>
      </c>
      <c r="G37" s="11" t="s">
        <v>105</v>
      </c>
      <c r="H37" s="11"/>
      <c r="I37" s="5">
        <f t="shared" ref="I37:I68" si="1">IF(G37="Completed",1,IF(G37="In Progress",0.5,IF(G37="Blocked",0.25,0)))</f>
        <v>0</v>
      </c>
      <c r="J37" s="10">
        <f>Setup!$B$6+(B37*7)-1</f>
        <v>46271</v>
      </c>
      <c r="K37" s="11"/>
    </row>
    <row r="38" spans="1:11" ht="38" customHeight="1">
      <c r="A38" s="1" t="s">
        <v>203</v>
      </c>
      <c r="B38" s="1">
        <v>7</v>
      </c>
      <c r="C38" s="11" t="s">
        <v>18</v>
      </c>
      <c r="D38" s="11" t="s">
        <v>204</v>
      </c>
      <c r="E38" s="11" t="s">
        <v>205</v>
      </c>
      <c r="F38" s="11" t="s">
        <v>104</v>
      </c>
      <c r="G38" s="11" t="s">
        <v>105</v>
      </c>
      <c r="H38" s="11"/>
      <c r="I38" s="5">
        <f t="shared" si="1"/>
        <v>0</v>
      </c>
      <c r="J38" s="10">
        <f>Setup!$B$6+(B38*7)-1</f>
        <v>46271</v>
      </c>
      <c r="K38" s="11"/>
    </row>
    <row r="39" spans="1:11" ht="38" customHeight="1">
      <c r="A39" s="1" t="s">
        <v>206</v>
      </c>
      <c r="B39" s="1">
        <v>7</v>
      </c>
      <c r="C39" s="11" t="s">
        <v>18</v>
      </c>
      <c r="D39" s="11" t="s">
        <v>207</v>
      </c>
      <c r="E39" s="11" t="s">
        <v>208</v>
      </c>
      <c r="F39" s="11" t="s">
        <v>133</v>
      </c>
      <c r="G39" s="11" t="s">
        <v>105</v>
      </c>
      <c r="H39" s="11"/>
      <c r="I39" s="5">
        <f t="shared" si="1"/>
        <v>0</v>
      </c>
      <c r="J39" s="10">
        <f>Setup!$B$6+(B39*7)-1</f>
        <v>46271</v>
      </c>
      <c r="K39" s="11"/>
    </row>
    <row r="40" spans="1:11" ht="38" customHeight="1">
      <c r="A40" s="1" t="s">
        <v>209</v>
      </c>
      <c r="B40" s="1">
        <v>8</v>
      </c>
      <c r="C40" s="11" t="s">
        <v>18</v>
      </c>
      <c r="D40" s="11" t="s">
        <v>210</v>
      </c>
      <c r="E40" s="11" t="s">
        <v>211</v>
      </c>
      <c r="F40" s="11" t="s">
        <v>104</v>
      </c>
      <c r="G40" s="11" t="s">
        <v>105</v>
      </c>
      <c r="H40" s="11"/>
      <c r="I40" s="5">
        <f t="shared" si="1"/>
        <v>0</v>
      </c>
      <c r="J40" s="10">
        <f>Setup!$B$6+(B40*7)-1</f>
        <v>46278</v>
      </c>
      <c r="K40" s="11"/>
    </row>
    <row r="41" spans="1:11" ht="38" customHeight="1">
      <c r="A41" s="1" t="s">
        <v>212</v>
      </c>
      <c r="B41" s="1">
        <v>8</v>
      </c>
      <c r="C41" s="11" t="s">
        <v>18</v>
      </c>
      <c r="D41" s="11" t="s">
        <v>213</v>
      </c>
      <c r="E41" s="11" t="s">
        <v>214</v>
      </c>
      <c r="F41" s="11" t="s">
        <v>104</v>
      </c>
      <c r="G41" s="11" t="s">
        <v>105</v>
      </c>
      <c r="H41" s="11"/>
      <c r="I41" s="5">
        <f t="shared" si="1"/>
        <v>0</v>
      </c>
      <c r="J41" s="10">
        <f>Setup!$B$6+(B41*7)-1</f>
        <v>46278</v>
      </c>
      <c r="K41" s="11"/>
    </row>
    <row r="42" spans="1:11" ht="38" customHeight="1">
      <c r="A42" s="1" t="s">
        <v>215</v>
      </c>
      <c r="B42" s="1">
        <v>8</v>
      </c>
      <c r="C42" s="11" t="s">
        <v>18</v>
      </c>
      <c r="D42" s="11" t="s">
        <v>216</v>
      </c>
      <c r="E42" s="11" t="s">
        <v>217</v>
      </c>
      <c r="F42" s="11" t="s">
        <v>133</v>
      </c>
      <c r="G42" s="11" t="s">
        <v>105</v>
      </c>
      <c r="H42" s="11"/>
      <c r="I42" s="5">
        <f t="shared" si="1"/>
        <v>0</v>
      </c>
      <c r="J42" s="10">
        <f>Setup!$B$6+(B42*7)-1</f>
        <v>46278</v>
      </c>
      <c r="K42" s="11"/>
    </row>
    <row r="43" spans="1:11" ht="38" customHeight="1">
      <c r="A43" s="1" t="s">
        <v>218</v>
      </c>
      <c r="B43" s="1">
        <v>8</v>
      </c>
      <c r="C43" s="11" t="s">
        <v>18</v>
      </c>
      <c r="D43" s="11" t="s">
        <v>219</v>
      </c>
      <c r="E43" s="11" t="s">
        <v>220</v>
      </c>
      <c r="F43" s="11" t="s">
        <v>104</v>
      </c>
      <c r="G43" s="11" t="s">
        <v>105</v>
      </c>
      <c r="H43" s="11"/>
      <c r="I43" s="5">
        <f t="shared" si="1"/>
        <v>0</v>
      </c>
      <c r="J43" s="10">
        <f>Setup!$B$6+(B43*7)-1</f>
        <v>46278</v>
      </c>
      <c r="K43" s="11"/>
    </row>
    <row r="44" spans="1:11" ht="38" customHeight="1">
      <c r="A44" s="1" t="s">
        <v>221</v>
      </c>
      <c r="B44" s="1">
        <v>8</v>
      </c>
      <c r="C44" s="11" t="s">
        <v>18</v>
      </c>
      <c r="D44" s="11" t="s">
        <v>222</v>
      </c>
      <c r="E44" s="11" t="s">
        <v>223</v>
      </c>
      <c r="F44" s="11" t="s">
        <v>104</v>
      </c>
      <c r="G44" s="11" t="s">
        <v>105</v>
      </c>
      <c r="H44" s="11"/>
      <c r="I44" s="5">
        <f t="shared" si="1"/>
        <v>0</v>
      </c>
      <c r="J44" s="10">
        <f>Setup!$B$6+(B44*7)-1</f>
        <v>46278</v>
      </c>
      <c r="K44" s="11"/>
    </row>
    <row r="45" spans="1:11" ht="38" customHeight="1">
      <c r="A45" s="1" t="s">
        <v>224</v>
      </c>
      <c r="B45" s="1">
        <v>9</v>
      </c>
      <c r="C45" s="11" t="s">
        <v>19</v>
      </c>
      <c r="D45" s="11" t="s">
        <v>225</v>
      </c>
      <c r="E45" s="11" t="s">
        <v>226</v>
      </c>
      <c r="F45" s="11" t="s">
        <v>104</v>
      </c>
      <c r="G45" s="11" t="s">
        <v>105</v>
      </c>
      <c r="H45" s="11"/>
      <c r="I45" s="5">
        <f t="shared" si="1"/>
        <v>0</v>
      </c>
      <c r="J45" s="10">
        <f>Setup!$B$6+(B45*7)-1</f>
        <v>46285</v>
      </c>
      <c r="K45" s="11"/>
    </row>
    <row r="46" spans="1:11" ht="38" customHeight="1">
      <c r="A46" s="1" t="s">
        <v>227</v>
      </c>
      <c r="B46" s="1">
        <v>9</v>
      </c>
      <c r="C46" s="11" t="s">
        <v>19</v>
      </c>
      <c r="D46" s="11" t="s">
        <v>228</v>
      </c>
      <c r="E46" s="11" t="s">
        <v>229</v>
      </c>
      <c r="F46" s="11" t="s">
        <v>104</v>
      </c>
      <c r="G46" s="11" t="s">
        <v>105</v>
      </c>
      <c r="H46" s="11"/>
      <c r="I46" s="5">
        <f t="shared" si="1"/>
        <v>0</v>
      </c>
      <c r="J46" s="10">
        <f>Setup!$B$6+(B46*7)-1</f>
        <v>46285</v>
      </c>
      <c r="K46" s="11"/>
    </row>
    <row r="47" spans="1:11" ht="38" customHeight="1">
      <c r="A47" s="1" t="s">
        <v>230</v>
      </c>
      <c r="B47" s="1">
        <v>9</v>
      </c>
      <c r="C47" s="11" t="s">
        <v>19</v>
      </c>
      <c r="D47" s="11" t="s">
        <v>231</v>
      </c>
      <c r="E47" s="11" t="s">
        <v>232</v>
      </c>
      <c r="F47" s="11" t="s">
        <v>104</v>
      </c>
      <c r="G47" s="11" t="s">
        <v>105</v>
      </c>
      <c r="H47" s="11"/>
      <c r="I47" s="5">
        <f t="shared" si="1"/>
        <v>0</v>
      </c>
      <c r="J47" s="10">
        <f>Setup!$B$6+(B47*7)-1</f>
        <v>46285</v>
      </c>
      <c r="K47" s="11"/>
    </row>
    <row r="48" spans="1:11" ht="38" customHeight="1">
      <c r="A48" s="1" t="s">
        <v>233</v>
      </c>
      <c r="B48" s="1">
        <v>9</v>
      </c>
      <c r="C48" s="11" t="s">
        <v>19</v>
      </c>
      <c r="D48" s="11" t="s">
        <v>234</v>
      </c>
      <c r="E48" s="11" t="s">
        <v>235</v>
      </c>
      <c r="F48" s="11" t="s">
        <v>133</v>
      </c>
      <c r="G48" s="11" t="s">
        <v>105</v>
      </c>
      <c r="H48" s="11"/>
      <c r="I48" s="5">
        <f t="shared" si="1"/>
        <v>0</v>
      </c>
      <c r="J48" s="10">
        <f>Setup!$B$6+(B48*7)-1</f>
        <v>46285</v>
      </c>
      <c r="K48" s="11"/>
    </row>
    <row r="49" spans="1:11" ht="38" customHeight="1">
      <c r="A49" s="1" t="s">
        <v>236</v>
      </c>
      <c r="B49" s="1">
        <v>9</v>
      </c>
      <c r="C49" s="11" t="s">
        <v>19</v>
      </c>
      <c r="D49" s="11" t="s">
        <v>237</v>
      </c>
      <c r="E49" s="11" t="s">
        <v>238</v>
      </c>
      <c r="F49" s="11" t="s">
        <v>133</v>
      </c>
      <c r="G49" s="11" t="s">
        <v>105</v>
      </c>
      <c r="H49" s="11"/>
      <c r="I49" s="5">
        <f t="shared" si="1"/>
        <v>0</v>
      </c>
      <c r="J49" s="10">
        <f>Setup!$B$6+(B49*7)-1</f>
        <v>46285</v>
      </c>
      <c r="K49" s="11"/>
    </row>
    <row r="50" spans="1:11" ht="38" customHeight="1">
      <c r="A50" s="1" t="s">
        <v>239</v>
      </c>
      <c r="B50" s="1">
        <v>10</v>
      </c>
      <c r="C50" s="11" t="s">
        <v>19</v>
      </c>
      <c r="D50" s="11" t="s">
        <v>240</v>
      </c>
      <c r="E50" s="11" t="s">
        <v>241</v>
      </c>
      <c r="F50" s="11" t="s">
        <v>104</v>
      </c>
      <c r="G50" s="11" t="s">
        <v>105</v>
      </c>
      <c r="H50" s="11"/>
      <c r="I50" s="5">
        <f t="shared" si="1"/>
        <v>0</v>
      </c>
      <c r="J50" s="10">
        <f>Setup!$B$6+(B50*7)-1</f>
        <v>46292</v>
      </c>
      <c r="K50" s="11"/>
    </row>
    <row r="51" spans="1:11" ht="38" customHeight="1">
      <c r="A51" s="1" t="s">
        <v>242</v>
      </c>
      <c r="B51" s="1">
        <v>10</v>
      </c>
      <c r="C51" s="11" t="s">
        <v>19</v>
      </c>
      <c r="D51" s="11" t="s">
        <v>243</v>
      </c>
      <c r="E51" s="11" t="s">
        <v>244</v>
      </c>
      <c r="F51" s="11" t="s">
        <v>104</v>
      </c>
      <c r="G51" s="11" t="s">
        <v>105</v>
      </c>
      <c r="H51" s="11"/>
      <c r="I51" s="5">
        <f t="shared" si="1"/>
        <v>0</v>
      </c>
      <c r="J51" s="10">
        <f>Setup!$B$6+(B51*7)-1</f>
        <v>46292</v>
      </c>
      <c r="K51" s="11"/>
    </row>
    <row r="52" spans="1:11" ht="38" customHeight="1">
      <c r="A52" s="1" t="s">
        <v>245</v>
      </c>
      <c r="B52" s="1">
        <v>10</v>
      </c>
      <c r="C52" s="11" t="s">
        <v>19</v>
      </c>
      <c r="D52" s="11" t="s">
        <v>246</v>
      </c>
      <c r="E52" s="11" t="s">
        <v>247</v>
      </c>
      <c r="F52" s="11" t="s">
        <v>133</v>
      </c>
      <c r="G52" s="11" t="s">
        <v>105</v>
      </c>
      <c r="H52" s="11"/>
      <c r="I52" s="5">
        <f t="shared" si="1"/>
        <v>0</v>
      </c>
      <c r="J52" s="10">
        <f>Setup!$B$6+(B52*7)-1</f>
        <v>46292</v>
      </c>
      <c r="K52" s="11"/>
    </row>
    <row r="53" spans="1:11" ht="38" customHeight="1">
      <c r="A53" s="1" t="s">
        <v>248</v>
      </c>
      <c r="B53" s="1">
        <v>10</v>
      </c>
      <c r="C53" s="11" t="s">
        <v>19</v>
      </c>
      <c r="D53" s="11" t="s">
        <v>249</v>
      </c>
      <c r="E53" s="11" t="s">
        <v>250</v>
      </c>
      <c r="F53" s="11" t="s">
        <v>104</v>
      </c>
      <c r="G53" s="11" t="s">
        <v>105</v>
      </c>
      <c r="H53" s="11"/>
      <c r="I53" s="5">
        <f t="shared" si="1"/>
        <v>0</v>
      </c>
      <c r="J53" s="10">
        <f>Setup!$B$6+(B53*7)-1</f>
        <v>46292</v>
      </c>
      <c r="K53" s="11"/>
    </row>
    <row r="54" spans="1:11" ht="38" customHeight="1">
      <c r="A54" s="1" t="s">
        <v>251</v>
      </c>
      <c r="B54" s="1">
        <v>10</v>
      </c>
      <c r="C54" s="11" t="s">
        <v>19</v>
      </c>
      <c r="D54" s="11" t="s">
        <v>252</v>
      </c>
      <c r="E54" s="11" t="s">
        <v>253</v>
      </c>
      <c r="F54" s="11" t="s">
        <v>104</v>
      </c>
      <c r="G54" s="11" t="s">
        <v>105</v>
      </c>
      <c r="H54" s="11"/>
      <c r="I54" s="5">
        <f t="shared" si="1"/>
        <v>0</v>
      </c>
      <c r="J54" s="10">
        <f>Setup!$B$6+(B54*7)-1</f>
        <v>46292</v>
      </c>
      <c r="K54" s="11"/>
    </row>
    <row r="55" spans="1:11" ht="38" customHeight="1">
      <c r="A55" s="1" t="s">
        <v>254</v>
      </c>
      <c r="B55" s="1">
        <v>11</v>
      </c>
      <c r="C55" s="11" t="s">
        <v>19</v>
      </c>
      <c r="D55" s="11" t="s">
        <v>255</v>
      </c>
      <c r="E55" s="11" t="s">
        <v>256</v>
      </c>
      <c r="F55" s="11" t="s">
        <v>104</v>
      </c>
      <c r="G55" s="11" t="s">
        <v>105</v>
      </c>
      <c r="H55" s="11"/>
      <c r="I55" s="5">
        <f t="shared" si="1"/>
        <v>0</v>
      </c>
      <c r="J55" s="10">
        <f>Setup!$B$6+(B55*7)-1</f>
        <v>46299</v>
      </c>
      <c r="K55" s="11"/>
    </row>
    <row r="56" spans="1:11" ht="38" customHeight="1">
      <c r="A56" s="1" t="s">
        <v>257</v>
      </c>
      <c r="B56" s="1">
        <v>11</v>
      </c>
      <c r="C56" s="11" t="s">
        <v>19</v>
      </c>
      <c r="D56" s="11" t="s">
        <v>258</v>
      </c>
      <c r="E56" s="11" t="s">
        <v>259</v>
      </c>
      <c r="F56" s="11" t="s">
        <v>104</v>
      </c>
      <c r="G56" s="11" t="s">
        <v>105</v>
      </c>
      <c r="H56" s="11"/>
      <c r="I56" s="5">
        <f t="shared" si="1"/>
        <v>0</v>
      </c>
      <c r="J56" s="10">
        <f>Setup!$B$6+(B56*7)-1</f>
        <v>46299</v>
      </c>
      <c r="K56" s="11"/>
    </row>
    <row r="57" spans="1:11" ht="38" customHeight="1">
      <c r="A57" s="1" t="s">
        <v>260</v>
      </c>
      <c r="B57" s="1">
        <v>11</v>
      </c>
      <c r="C57" s="11" t="s">
        <v>19</v>
      </c>
      <c r="D57" s="11" t="s">
        <v>261</v>
      </c>
      <c r="E57" s="11" t="s">
        <v>262</v>
      </c>
      <c r="F57" s="11" t="s">
        <v>133</v>
      </c>
      <c r="G57" s="11" t="s">
        <v>105</v>
      </c>
      <c r="H57" s="11"/>
      <c r="I57" s="5">
        <f t="shared" si="1"/>
        <v>0</v>
      </c>
      <c r="J57" s="10">
        <f>Setup!$B$6+(B57*7)-1</f>
        <v>46299</v>
      </c>
      <c r="K57" s="11"/>
    </row>
    <row r="58" spans="1:11" ht="38" customHeight="1">
      <c r="A58" s="1" t="s">
        <v>263</v>
      </c>
      <c r="B58" s="1">
        <v>11</v>
      </c>
      <c r="C58" s="11" t="s">
        <v>19</v>
      </c>
      <c r="D58" s="11" t="s">
        <v>264</v>
      </c>
      <c r="E58" s="11" t="s">
        <v>265</v>
      </c>
      <c r="F58" s="11" t="s">
        <v>133</v>
      </c>
      <c r="G58" s="11" t="s">
        <v>105</v>
      </c>
      <c r="H58" s="11"/>
      <c r="I58" s="5">
        <f t="shared" si="1"/>
        <v>0</v>
      </c>
      <c r="J58" s="10">
        <f>Setup!$B$6+(B58*7)-1</f>
        <v>46299</v>
      </c>
      <c r="K58" s="11"/>
    </row>
    <row r="59" spans="1:11" ht="38" customHeight="1">
      <c r="A59" s="1" t="s">
        <v>266</v>
      </c>
      <c r="B59" s="1">
        <v>11</v>
      </c>
      <c r="C59" s="11" t="s">
        <v>19</v>
      </c>
      <c r="D59" s="11" t="s">
        <v>267</v>
      </c>
      <c r="E59" s="11" t="s">
        <v>268</v>
      </c>
      <c r="F59" s="11" t="s">
        <v>104</v>
      </c>
      <c r="G59" s="11" t="s">
        <v>105</v>
      </c>
      <c r="H59" s="11"/>
      <c r="I59" s="5">
        <f t="shared" si="1"/>
        <v>0</v>
      </c>
      <c r="J59" s="10">
        <f>Setup!$B$6+(B59*7)-1</f>
        <v>46299</v>
      </c>
      <c r="K59" s="11"/>
    </row>
    <row r="60" spans="1:11" ht="38" customHeight="1">
      <c r="A60" s="1" t="s">
        <v>269</v>
      </c>
      <c r="B60" s="1">
        <v>12</v>
      </c>
      <c r="C60" s="11" t="s">
        <v>19</v>
      </c>
      <c r="D60" s="11" t="s">
        <v>270</v>
      </c>
      <c r="E60" s="11" t="s">
        <v>271</v>
      </c>
      <c r="F60" s="11" t="s">
        <v>104</v>
      </c>
      <c r="G60" s="11" t="s">
        <v>105</v>
      </c>
      <c r="H60" s="11"/>
      <c r="I60" s="5">
        <f t="shared" si="1"/>
        <v>0</v>
      </c>
      <c r="J60" s="10">
        <f>Setup!$B$6+(B60*7)-1</f>
        <v>46306</v>
      </c>
      <c r="K60" s="11"/>
    </row>
    <row r="61" spans="1:11" ht="38" customHeight="1">
      <c r="A61" s="1" t="s">
        <v>272</v>
      </c>
      <c r="B61" s="1">
        <v>12</v>
      </c>
      <c r="C61" s="11" t="s">
        <v>19</v>
      </c>
      <c r="D61" s="11" t="s">
        <v>273</v>
      </c>
      <c r="E61" s="11" t="s">
        <v>274</v>
      </c>
      <c r="F61" s="11" t="s">
        <v>104</v>
      </c>
      <c r="G61" s="11" t="s">
        <v>105</v>
      </c>
      <c r="H61" s="11"/>
      <c r="I61" s="5">
        <f t="shared" si="1"/>
        <v>0</v>
      </c>
      <c r="J61" s="10">
        <f>Setup!$B$6+(B61*7)-1</f>
        <v>46306</v>
      </c>
      <c r="K61" s="11"/>
    </row>
    <row r="62" spans="1:11" ht="38" customHeight="1">
      <c r="A62" s="1" t="s">
        <v>275</v>
      </c>
      <c r="B62" s="1">
        <v>12</v>
      </c>
      <c r="C62" s="11" t="s">
        <v>19</v>
      </c>
      <c r="D62" s="11" t="s">
        <v>276</v>
      </c>
      <c r="E62" s="11" t="s">
        <v>277</v>
      </c>
      <c r="F62" s="11" t="s">
        <v>133</v>
      </c>
      <c r="G62" s="11" t="s">
        <v>105</v>
      </c>
      <c r="H62" s="11"/>
      <c r="I62" s="5">
        <f t="shared" si="1"/>
        <v>0</v>
      </c>
      <c r="J62" s="10">
        <f>Setup!$B$6+(B62*7)-1</f>
        <v>46306</v>
      </c>
      <c r="K62" s="11"/>
    </row>
    <row r="63" spans="1:11" ht="38" customHeight="1">
      <c r="A63" s="1" t="s">
        <v>278</v>
      </c>
      <c r="B63" s="1">
        <v>12</v>
      </c>
      <c r="C63" s="11" t="s">
        <v>19</v>
      </c>
      <c r="D63" s="11" t="s">
        <v>279</v>
      </c>
      <c r="E63" s="11" t="s">
        <v>280</v>
      </c>
      <c r="F63" s="11" t="s">
        <v>104</v>
      </c>
      <c r="G63" s="11" t="s">
        <v>105</v>
      </c>
      <c r="H63" s="11"/>
      <c r="I63" s="5">
        <f t="shared" si="1"/>
        <v>0</v>
      </c>
      <c r="J63" s="10">
        <f>Setup!$B$6+(B63*7)-1</f>
        <v>46306</v>
      </c>
      <c r="K63" s="11"/>
    </row>
    <row r="64" spans="1:11" ht="38" customHeight="1">
      <c r="A64" s="1" t="s">
        <v>281</v>
      </c>
      <c r="B64" s="1">
        <v>12</v>
      </c>
      <c r="C64" s="11" t="s">
        <v>19</v>
      </c>
      <c r="D64" s="11" t="s">
        <v>282</v>
      </c>
      <c r="E64" s="11" t="s">
        <v>283</v>
      </c>
      <c r="F64" s="11" t="s">
        <v>104</v>
      </c>
      <c r="G64" s="11" t="s">
        <v>105</v>
      </c>
      <c r="H64" s="11"/>
      <c r="I64" s="5">
        <f t="shared" si="1"/>
        <v>0</v>
      </c>
      <c r="J64" s="10">
        <f>Setup!$B$6+(B64*7)-1</f>
        <v>46306</v>
      </c>
      <c r="K64" s="11"/>
    </row>
    <row r="65" spans="1:11" ht="38" customHeight="1">
      <c r="A65" s="1" t="s">
        <v>284</v>
      </c>
      <c r="B65" s="1">
        <v>13</v>
      </c>
      <c r="C65" s="11" t="s">
        <v>20</v>
      </c>
      <c r="D65" s="11" t="s">
        <v>285</v>
      </c>
      <c r="E65" s="11" t="s">
        <v>286</v>
      </c>
      <c r="F65" s="11" t="s">
        <v>104</v>
      </c>
      <c r="G65" s="11" t="s">
        <v>105</v>
      </c>
      <c r="H65" s="11"/>
      <c r="I65" s="5">
        <f t="shared" si="1"/>
        <v>0</v>
      </c>
      <c r="J65" s="10">
        <f>Setup!$B$6+(B65*7)-1</f>
        <v>46313</v>
      </c>
      <c r="K65" s="11"/>
    </row>
    <row r="66" spans="1:11" ht="38" customHeight="1">
      <c r="A66" s="1" t="s">
        <v>287</v>
      </c>
      <c r="B66" s="1">
        <v>13</v>
      </c>
      <c r="C66" s="11" t="s">
        <v>20</v>
      </c>
      <c r="D66" s="11" t="s">
        <v>288</v>
      </c>
      <c r="E66" s="11" t="s">
        <v>289</v>
      </c>
      <c r="F66" s="11" t="s">
        <v>104</v>
      </c>
      <c r="G66" s="11" t="s">
        <v>105</v>
      </c>
      <c r="H66" s="11"/>
      <c r="I66" s="5">
        <f t="shared" si="1"/>
        <v>0</v>
      </c>
      <c r="J66" s="10">
        <f>Setup!$B$6+(B66*7)-1</f>
        <v>46313</v>
      </c>
      <c r="K66" s="11"/>
    </row>
    <row r="67" spans="1:11" ht="38" customHeight="1">
      <c r="A67" s="1" t="s">
        <v>290</v>
      </c>
      <c r="B67" s="1">
        <v>13</v>
      </c>
      <c r="C67" s="11" t="s">
        <v>20</v>
      </c>
      <c r="D67" s="11" t="s">
        <v>291</v>
      </c>
      <c r="E67" s="11" t="s">
        <v>292</v>
      </c>
      <c r="F67" s="11" t="s">
        <v>133</v>
      </c>
      <c r="G67" s="11" t="s">
        <v>105</v>
      </c>
      <c r="H67" s="11"/>
      <c r="I67" s="5">
        <f t="shared" si="1"/>
        <v>0</v>
      </c>
      <c r="J67" s="10">
        <f>Setup!$B$6+(B67*7)-1</f>
        <v>46313</v>
      </c>
      <c r="K67" s="11"/>
    </row>
    <row r="68" spans="1:11" ht="38" customHeight="1">
      <c r="A68" s="1" t="s">
        <v>293</v>
      </c>
      <c r="B68" s="1">
        <v>13</v>
      </c>
      <c r="C68" s="11" t="s">
        <v>20</v>
      </c>
      <c r="D68" s="11" t="s">
        <v>294</v>
      </c>
      <c r="E68" s="11" t="s">
        <v>295</v>
      </c>
      <c r="F68" s="11" t="s">
        <v>104</v>
      </c>
      <c r="G68" s="11" t="s">
        <v>105</v>
      </c>
      <c r="H68" s="11"/>
      <c r="I68" s="5">
        <f t="shared" si="1"/>
        <v>0</v>
      </c>
      <c r="J68" s="10">
        <f>Setup!$B$6+(B68*7)-1</f>
        <v>46313</v>
      </c>
      <c r="K68" s="11"/>
    </row>
    <row r="69" spans="1:11" ht="38" customHeight="1">
      <c r="A69" s="1" t="s">
        <v>296</v>
      </c>
      <c r="B69" s="1">
        <v>13</v>
      </c>
      <c r="C69" s="11" t="s">
        <v>20</v>
      </c>
      <c r="D69" s="11" t="s">
        <v>297</v>
      </c>
      <c r="E69" s="11" t="s">
        <v>298</v>
      </c>
      <c r="F69" s="11" t="s">
        <v>133</v>
      </c>
      <c r="G69" s="11" t="s">
        <v>105</v>
      </c>
      <c r="H69" s="11"/>
      <c r="I69" s="5">
        <f t="shared" ref="I69:I100" si="2">IF(G69="Completed",1,IF(G69="In Progress",0.5,IF(G69="Blocked",0.25,0)))</f>
        <v>0</v>
      </c>
      <c r="J69" s="10">
        <f>Setup!$B$6+(B69*7)-1</f>
        <v>46313</v>
      </c>
      <c r="K69" s="11"/>
    </row>
    <row r="70" spans="1:11" ht="38" customHeight="1">
      <c r="A70" s="1" t="s">
        <v>299</v>
      </c>
      <c r="B70" s="1">
        <v>14</v>
      </c>
      <c r="C70" s="11" t="s">
        <v>20</v>
      </c>
      <c r="D70" s="11" t="s">
        <v>300</v>
      </c>
      <c r="E70" s="11" t="s">
        <v>301</v>
      </c>
      <c r="F70" s="11" t="s">
        <v>104</v>
      </c>
      <c r="G70" s="11" t="s">
        <v>105</v>
      </c>
      <c r="H70" s="11"/>
      <c r="I70" s="5">
        <f t="shared" si="2"/>
        <v>0</v>
      </c>
      <c r="J70" s="10">
        <f>Setup!$B$6+(B70*7)-1</f>
        <v>46320</v>
      </c>
      <c r="K70" s="11"/>
    </row>
    <row r="71" spans="1:11" ht="38" customHeight="1">
      <c r="A71" s="1" t="s">
        <v>302</v>
      </c>
      <c r="B71" s="1">
        <v>14</v>
      </c>
      <c r="C71" s="11" t="s">
        <v>20</v>
      </c>
      <c r="D71" s="11" t="s">
        <v>303</v>
      </c>
      <c r="E71" s="11" t="s">
        <v>304</v>
      </c>
      <c r="F71" s="11" t="s">
        <v>104</v>
      </c>
      <c r="G71" s="11" t="s">
        <v>105</v>
      </c>
      <c r="H71" s="11"/>
      <c r="I71" s="5">
        <f t="shared" si="2"/>
        <v>0</v>
      </c>
      <c r="J71" s="10">
        <f>Setup!$B$6+(B71*7)-1</f>
        <v>46320</v>
      </c>
      <c r="K71" s="11"/>
    </row>
    <row r="72" spans="1:11" ht="38" customHeight="1">
      <c r="A72" s="1" t="s">
        <v>305</v>
      </c>
      <c r="B72" s="1">
        <v>14</v>
      </c>
      <c r="C72" s="11" t="s">
        <v>20</v>
      </c>
      <c r="D72" s="11" t="s">
        <v>306</v>
      </c>
      <c r="E72" s="11" t="s">
        <v>307</v>
      </c>
      <c r="F72" s="11" t="s">
        <v>133</v>
      </c>
      <c r="G72" s="11" t="s">
        <v>105</v>
      </c>
      <c r="H72" s="11"/>
      <c r="I72" s="5">
        <f t="shared" si="2"/>
        <v>0</v>
      </c>
      <c r="J72" s="10">
        <f>Setup!$B$6+(B72*7)-1</f>
        <v>46320</v>
      </c>
      <c r="K72" s="11"/>
    </row>
    <row r="73" spans="1:11" ht="38" customHeight="1">
      <c r="A73" s="1" t="s">
        <v>308</v>
      </c>
      <c r="B73" s="1">
        <v>14</v>
      </c>
      <c r="C73" s="11" t="s">
        <v>20</v>
      </c>
      <c r="D73" s="11" t="s">
        <v>309</v>
      </c>
      <c r="E73" s="11" t="s">
        <v>310</v>
      </c>
      <c r="F73" s="11" t="s">
        <v>104</v>
      </c>
      <c r="G73" s="11" t="s">
        <v>105</v>
      </c>
      <c r="H73" s="11"/>
      <c r="I73" s="5">
        <f t="shared" si="2"/>
        <v>0</v>
      </c>
      <c r="J73" s="10">
        <f>Setup!$B$6+(B73*7)-1</f>
        <v>46320</v>
      </c>
      <c r="K73" s="11"/>
    </row>
    <row r="74" spans="1:11" ht="38" customHeight="1">
      <c r="A74" s="1" t="s">
        <v>311</v>
      </c>
      <c r="B74" s="1">
        <v>14</v>
      </c>
      <c r="C74" s="11" t="s">
        <v>20</v>
      </c>
      <c r="D74" s="11" t="s">
        <v>312</v>
      </c>
      <c r="E74" s="11" t="s">
        <v>313</v>
      </c>
      <c r="F74" s="11" t="s">
        <v>104</v>
      </c>
      <c r="G74" s="11" t="s">
        <v>105</v>
      </c>
      <c r="H74" s="11"/>
      <c r="I74" s="5">
        <f t="shared" si="2"/>
        <v>0</v>
      </c>
      <c r="J74" s="10">
        <f>Setup!$B$6+(B74*7)-1</f>
        <v>46320</v>
      </c>
      <c r="K74" s="11"/>
    </row>
    <row r="75" spans="1:11" ht="38" customHeight="1">
      <c r="A75" s="1" t="s">
        <v>314</v>
      </c>
      <c r="B75" s="1">
        <v>15</v>
      </c>
      <c r="C75" s="11" t="s">
        <v>20</v>
      </c>
      <c r="D75" s="11" t="s">
        <v>315</v>
      </c>
      <c r="E75" s="11" t="s">
        <v>316</v>
      </c>
      <c r="F75" s="11" t="s">
        <v>104</v>
      </c>
      <c r="G75" s="11" t="s">
        <v>105</v>
      </c>
      <c r="H75" s="11"/>
      <c r="I75" s="5">
        <f t="shared" si="2"/>
        <v>0</v>
      </c>
      <c r="J75" s="10">
        <f>Setup!$B$6+(B75*7)-1</f>
        <v>46327</v>
      </c>
      <c r="K75" s="11"/>
    </row>
    <row r="76" spans="1:11" ht="38" customHeight="1">
      <c r="A76" s="1" t="s">
        <v>317</v>
      </c>
      <c r="B76" s="1">
        <v>15</v>
      </c>
      <c r="C76" s="11" t="s">
        <v>20</v>
      </c>
      <c r="D76" s="11" t="s">
        <v>318</v>
      </c>
      <c r="E76" s="11" t="s">
        <v>319</v>
      </c>
      <c r="F76" s="11" t="s">
        <v>104</v>
      </c>
      <c r="G76" s="11" t="s">
        <v>105</v>
      </c>
      <c r="H76" s="11"/>
      <c r="I76" s="5">
        <f t="shared" si="2"/>
        <v>0</v>
      </c>
      <c r="J76" s="10">
        <f>Setup!$B$6+(B76*7)-1</f>
        <v>46327</v>
      </c>
      <c r="K76" s="11"/>
    </row>
    <row r="77" spans="1:11" ht="38" customHeight="1">
      <c r="A77" s="1" t="s">
        <v>320</v>
      </c>
      <c r="B77" s="1">
        <v>15</v>
      </c>
      <c r="C77" s="11" t="s">
        <v>20</v>
      </c>
      <c r="D77" s="11" t="s">
        <v>321</v>
      </c>
      <c r="E77" s="11" t="s">
        <v>322</v>
      </c>
      <c r="F77" s="11" t="s">
        <v>104</v>
      </c>
      <c r="G77" s="11" t="s">
        <v>105</v>
      </c>
      <c r="H77" s="11"/>
      <c r="I77" s="5">
        <f t="shared" si="2"/>
        <v>0</v>
      </c>
      <c r="J77" s="10">
        <f>Setup!$B$6+(B77*7)-1</f>
        <v>46327</v>
      </c>
      <c r="K77" s="11"/>
    </row>
    <row r="78" spans="1:11" ht="38" customHeight="1">
      <c r="A78" s="1" t="s">
        <v>323</v>
      </c>
      <c r="B78" s="1">
        <v>15</v>
      </c>
      <c r="C78" s="11" t="s">
        <v>20</v>
      </c>
      <c r="D78" s="11" t="s">
        <v>324</v>
      </c>
      <c r="E78" s="11" t="s">
        <v>325</v>
      </c>
      <c r="F78" s="11" t="s">
        <v>133</v>
      </c>
      <c r="G78" s="11" t="s">
        <v>105</v>
      </c>
      <c r="H78" s="11"/>
      <c r="I78" s="5">
        <f t="shared" si="2"/>
        <v>0</v>
      </c>
      <c r="J78" s="10">
        <f>Setup!$B$6+(B78*7)-1</f>
        <v>46327</v>
      </c>
      <c r="K78" s="11"/>
    </row>
    <row r="79" spans="1:11" ht="38" customHeight="1">
      <c r="A79" s="1" t="s">
        <v>326</v>
      </c>
      <c r="B79" s="1">
        <v>15</v>
      </c>
      <c r="C79" s="11" t="s">
        <v>20</v>
      </c>
      <c r="D79" s="11" t="s">
        <v>327</v>
      </c>
      <c r="E79" s="11" t="s">
        <v>328</v>
      </c>
      <c r="F79" s="11" t="s">
        <v>104</v>
      </c>
      <c r="G79" s="11" t="s">
        <v>105</v>
      </c>
      <c r="H79" s="11"/>
      <c r="I79" s="5">
        <f t="shared" si="2"/>
        <v>0</v>
      </c>
      <c r="J79" s="10">
        <f>Setup!$B$6+(B79*7)-1</f>
        <v>46327</v>
      </c>
      <c r="K79" s="11"/>
    </row>
    <row r="80" spans="1:11" ht="38" customHeight="1">
      <c r="A80" s="1" t="s">
        <v>329</v>
      </c>
      <c r="B80" s="1">
        <v>16</v>
      </c>
      <c r="C80" s="11" t="s">
        <v>20</v>
      </c>
      <c r="D80" s="11" t="s">
        <v>330</v>
      </c>
      <c r="E80" s="11" t="s">
        <v>331</v>
      </c>
      <c r="F80" s="11" t="s">
        <v>104</v>
      </c>
      <c r="G80" s="11" t="s">
        <v>105</v>
      </c>
      <c r="H80" s="11"/>
      <c r="I80" s="5">
        <f t="shared" si="2"/>
        <v>0</v>
      </c>
      <c r="J80" s="10">
        <f>Setup!$B$6+(B80*7)-1</f>
        <v>46334</v>
      </c>
      <c r="K80" s="11"/>
    </row>
    <row r="81" spans="1:11" ht="38" customHeight="1">
      <c r="A81" s="1" t="s">
        <v>332</v>
      </c>
      <c r="B81" s="1">
        <v>16</v>
      </c>
      <c r="C81" s="11" t="s">
        <v>20</v>
      </c>
      <c r="D81" s="11" t="s">
        <v>333</v>
      </c>
      <c r="E81" s="11" t="s">
        <v>334</v>
      </c>
      <c r="F81" s="11" t="s">
        <v>133</v>
      </c>
      <c r="G81" s="11" t="s">
        <v>105</v>
      </c>
      <c r="H81" s="11"/>
      <c r="I81" s="5">
        <f t="shared" si="2"/>
        <v>0</v>
      </c>
      <c r="J81" s="10">
        <f>Setup!$B$6+(B81*7)-1</f>
        <v>46334</v>
      </c>
      <c r="K81" s="11"/>
    </row>
    <row r="82" spans="1:11" ht="38" customHeight="1">
      <c r="A82" s="1" t="s">
        <v>335</v>
      </c>
      <c r="B82" s="1">
        <v>16</v>
      </c>
      <c r="C82" s="11" t="s">
        <v>20</v>
      </c>
      <c r="D82" s="11" t="s">
        <v>336</v>
      </c>
      <c r="E82" s="11" t="s">
        <v>337</v>
      </c>
      <c r="F82" s="11" t="s">
        <v>104</v>
      </c>
      <c r="G82" s="11" t="s">
        <v>105</v>
      </c>
      <c r="H82" s="11"/>
      <c r="I82" s="5">
        <f t="shared" si="2"/>
        <v>0</v>
      </c>
      <c r="J82" s="10">
        <f>Setup!$B$6+(B82*7)-1</f>
        <v>46334</v>
      </c>
      <c r="K82" s="11"/>
    </row>
    <row r="83" spans="1:11" ht="38" customHeight="1">
      <c r="A83" s="1" t="s">
        <v>338</v>
      </c>
      <c r="B83" s="1">
        <v>16</v>
      </c>
      <c r="C83" s="11" t="s">
        <v>20</v>
      </c>
      <c r="D83" s="11" t="s">
        <v>339</v>
      </c>
      <c r="E83" s="11" t="s">
        <v>340</v>
      </c>
      <c r="F83" s="11" t="s">
        <v>133</v>
      </c>
      <c r="G83" s="11" t="s">
        <v>105</v>
      </c>
      <c r="H83" s="11"/>
      <c r="I83" s="5">
        <f t="shared" si="2"/>
        <v>0</v>
      </c>
      <c r="J83" s="10">
        <f>Setup!$B$6+(B83*7)-1</f>
        <v>46334</v>
      </c>
      <c r="K83" s="11"/>
    </row>
    <row r="84" spans="1:11" ht="38" customHeight="1">
      <c r="A84" s="1" t="s">
        <v>341</v>
      </c>
      <c r="B84" s="1">
        <v>16</v>
      </c>
      <c r="C84" s="11" t="s">
        <v>20</v>
      </c>
      <c r="D84" s="11" t="s">
        <v>342</v>
      </c>
      <c r="E84" s="11" t="s">
        <v>343</v>
      </c>
      <c r="F84" s="11" t="s">
        <v>104</v>
      </c>
      <c r="G84" s="11" t="s">
        <v>105</v>
      </c>
      <c r="H84" s="11"/>
      <c r="I84" s="5">
        <f t="shared" si="2"/>
        <v>0</v>
      </c>
      <c r="J84" s="10">
        <f>Setup!$B$6+(B84*7)-1</f>
        <v>46334</v>
      </c>
      <c r="K84" s="11"/>
    </row>
    <row r="85" spans="1:11" ht="38" customHeight="1">
      <c r="A85" s="1" t="s">
        <v>344</v>
      </c>
      <c r="B85" s="1">
        <v>17</v>
      </c>
      <c r="C85" s="11" t="s">
        <v>21</v>
      </c>
      <c r="D85" s="11" t="s">
        <v>345</v>
      </c>
      <c r="E85" s="11" t="s">
        <v>346</v>
      </c>
      <c r="F85" s="11" t="s">
        <v>104</v>
      </c>
      <c r="G85" s="11" t="s">
        <v>105</v>
      </c>
      <c r="H85" s="11"/>
      <c r="I85" s="5">
        <f t="shared" si="2"/>
        <v>0</v>
      </c>
      <c r="J85" s="10">
        <f>Setup!$B$6+(B85*7)-1</f>
        <v>46341</v>
      </c>
      <c r="K85" s="11"/>
    </row>
    <row r="86" spans="1:11" ht="38" customHeight="1">
      <c r="A86" s="1" t="s">
        <v>347</v>
      </c>
      <c r="B86" s="1">
        <v>17</v>
      </c>
      <c r="C86" s="11" t="s">
        <v>21</v>
      </c>
      <c r="D86" s="11" t="s">
        <v>348</v>
      </c>
      <c r="E86" s="11" t="s">
        <v>349</v>
      </c>
      <c r="F86" s="11" t="s">
        <v>104</v>
      </c>
      <c r="G86" s="11" t="s">
        <v>105</v>
      </c>
      <c r="H86" s="11"/>
      <c r="I86" s="5">
        <f t="shared" si="2"/>
        <v>0</v>
      </c>
      <c r="J86" s="10">
        <f>Setup!$B$6+(B86*7)-1</f>
        <v>46341</v>
      </c>
      <c r="K86" s="11"/>
    </row>
    <row r="87" spans="1:11" ht="38" customHeight="1">
      <c r="A87" s="1" t="s">
        <v>350</v>
      </c>
      <c r="B87" s="1">
        <v>17</v>
      </c>
      <c r="C87" s="11" t="s">
        <v>21</v>
      </c>
      <c r="D87" s="11" t="s">
        <v>351</v>
      </c>
      <c r="E87" s="11" t="s">
        <v>352</v>
      </c>
      <c r="F87" s="11" t="s">
        <v>104</v>
      </c>
      <c r="G87" s="11" t="s">
        <v>105</v>
      </c>
      <c r="H87" s="11"/>
      <c r="I87" s="5">
        <f t="shared" si="2"/>
        <v>0</v>
      </c>
      <c r="J87" s="10">
        <f>Setup!$B$6+(B87*7)-1</f>
        <v>46341</v>
      </c>
      <c r="K87" s="11"/>
    </row>
    <row r="88" spans="1:11" ht="38" customHeight="1">
      <c r="A88" s="1" t="s">
        <v>353</v>
      </c>
      <c r="B88" s="1">
        <v>17</v>
      </c>
      <c r="C88" s="11" t="s">
        <v>21</v>
      </c>
      <c r="D88" s="11" t="s">
        <v>354</v>
      </c>
      <c r="E88" s="11" t="s">
        <v>355</v>
      </c>
      <c r="F88" s="11" t="s">
        <v>104</v>
      </c>
      <c r="G88" s="11" t="s">
        <v>105</v>
      </c>
      <c r="H88" s="11"/>
      <c r="I88" s="5">
        <f t="shared" si="2"/>
        <v>0</v>
      </c>
      <c r="J88" s="10">
        <f>Setup!$B$6+(B88*7)-1</f>
        <v>46341</v>
      </c>
      <c r="K88" s="11"/>
    </row>
    <row r="89" spans="1:11" ht="38" customHeight="1">
      <c r="A89" s="1" t="s">
        <v>356</v>
      </c>
      <c r="B89" s="1">
        <v>17</v>
      </c>
      <c r="C89" s="11" t="s">
        <v>21</v>
      </c>
      <c r="D89" s="11" t="s">
        <v>357</v>
      </c>
      <c r="E89" s="11" t="s">
        <v>358</v>
      </c>
      <c r="F89" s="11" t="s">
        <v>104</v>
      </c>
      <c r="G89" s="11" t="s">
        <v>105</v>
      </c>
      <c r="H89" s="11"/>
      <c r="I89" s="5">
        <f t="shared" si="2"/>
        <v>0</v>
      </c>
      <c r="J89" s="10">
        <f>Setup!$B$6+(B89*7)-1</f>
        <v>46341</v>
      </c>
      <c r="K89" s="11"/>
    </row>
    <row r="90" spans="1:11" ht="38" customHeight="1">
      <c r="A90" s="1" t="s">
        <v>359</v>
      </c>
      <c r="B90" s="1">
        <v>18</v>
      </c>
      <c r="C90" s="11" t="s">
        <v>21</v>
      </c>
      <c r="D90" s="11" t="s">
        <v>360</v>
      </c>
      <c r="E90" s="11" t="s">
        <v>361</v>
      </c>
      <c r="F90" s="11" t="s">
        <v>104</v>
      </c>
      <c r="G90" s="11" t="s">
        <v>105</v>
      </c>
      <c r="H90" s="11"/>
      <c r="I90" s="5">
        <f t="shared" si="2"/>
        <v>0</v>
      </c>
      <c r="J90" s="10">
        <f>Setup!$B$6+(B90*7)-1</f>
        <v>46348</v>
      </c>
      <c r="K90" s="11"/>
    </row>
    <row r="91" spans="1:11" ht="38" customHeight="1">
      <c r="A91" s="1" t="s">
        <v>362</v>
      </c>
      <c r="B91" s="1">
        <v>18</v>
      </c>
      <c r="C91" s="11" t="s">
        <v>21</v>
      </c>
      <c r="D91" s="11" t="s">
        <v>363</v>
      </c>
      <c r="E91" s="11" t="s">
        <v>364</v>
      </c>
      <c r="F91" s="11" t="s">
        <v>104</v>
      </c>
      <c r="G91" s="11" t="s">
        <v>105</v>
      </c>
      <c r="H91" s="11"/>
      <c r="I91" s="5">
        <f t="shared" si="2"/>
        <v>0</v>
      </c>
      <c r="J91" s="10">
        <f>Setup!$B$6+(B91*7)-1</f>
        <v>46348</v>
      </c>
      <c r="K91" s="11"/>
    </row>
    <row r="92" spans="1:11" ht="38" customHeight="1">
      <c r="A92" s="1" t="s">
        <v>365</v>
      </c>
      <c r="B92" s="1">
        <v>18</v>
      </c>
      <c r="C92" s="11" t="s">
        <v>21</v>
      </c>
      <c r="D92" s="11" t="s">
        <v>366</v>
      </c>
      <c r="E92" s="11" t="s">
        <v>367</v>
      </c>
      <c r="F92" s="11" t="s">
        <v>104</v>
      </c>
      <c r="G92" s="11" t="s">
        <v>105</v>
      </c>
      <c r="H92" s="11"/>
      <c r="I92" s="5">
        <f t="shared" si="2"/>
        <v>0</v>
      </c>
      <c r="J92" s="10">
        <f>Setup!$B$6+(B92*7)-1</f>
        <v>46348</v>
      </c>
      <c r="K92" s="11"/>
    </row>
    <row r="93" spans="1:11" ht="38" customHeight="1">
      <c r="A93" s="1" t="s">
        <v>368</v>
      </c>
      <c r="B93" s="1">
        <v>18</v>
      </c>
      <c r="C93" s="11" t="s">
        <v>21</v>
      </c>
      <c r="D93" s="11" t="s">
        <v>369</v>
      </c>
      <c r="E93" s="11" t="s">
        <v>370</v>
      </c>
      <c r="F93" s="11" t="s">
        <v>104</v>
      </c>
      <c r="G93" s="11" t="s">
        <v>105</v>
      </c>
      <c r="H93" s="11"/>
      <c r="I93" s="5">
        <f t="shared" si="2"/>
        <v>0</v>
      </c>
      <c r="J93" s="10">
        <f>Setup!$B$6+(B93*7)-1</f>
        <v>46348</v>
      </c>
      <c r="K93" s="11"/>
    </row>
    <row r="94" spans="1:11" ht="38" customHeight="1">
      <c r="A94" s="1" t="s">
        <v>371</v>
      </c>
      <c r="B94" s="1">
        <v>18</v>
      </c>
      <c r="C94" s="11" t="s">
        <v>21</v>
      </c>
      <c r="D94" s="11" t="s">
        <v>372</v>
      </c>
      <c r="E94" s="11" t="s">
        <v>373</v>
      </c>
      <c r="F94" s="11" t="s">
        <v>104</v>
      </c>
      <c r="G94" s="11" t="s">
        <v>105</v>
      </c>
      <c r="H94" s="11"/>
      <c r="I94" s="5">
        <f t="shared" si="2"/>
        <v>0</v>
      </c>
      <c r="J94" s="10">
        <f>Setup!$B$6+(B94*7)-1</f>
        <v>46348</v>
      </c>
      <c r="K94" s="11"/>
    </row>
    <row r="95" spans="1:11" ht="38" customHeight="1">
      <c r="A95" s="1" t="s">
        <v>374</v>
      </c>
      <c r="B95" s="1">
        <v>19</v>
      </c>
      <c r="C95" s="11" t="s">
        <v>21</v>
      </c>
      <c r="D95" s="11" t="s">
        <v>375</v>
      </c>
      <c r="E95" s="11" t="s">
        <v>376</v>
      </c>
      <c r="F95" s="11" t="s">
        <v>104</v>
      </c>
      <c r="G95" s="11" t="s">
        <v>105</v>
      </c>
      <c r="H95" s="11"/>
      <c r="I95" s="5">
        <f t="shared" si="2"/>
        <v>0</v>
      </c>
      <c r="J95" s="10">
        <f>Setup!$B$6+(B95*7)-1</f>
        <v>46355</v>
      </c>
      <c r="K95" s="11"/>
    </row>
    <row r="96" spans="1:11" ht="38" customHeight="1">
      <c r="A96" s="1" t="s">
        <v>377</v>
      </c>
      <c r="B96" s="1">
        <v>19</v>
      </c>
      <c r="C96" s="11" t="s">
        <v>21</v>
      </c>
      <c r="D96" s="11" t="s">
        <v>378</v>
      </c>
      <c r="E96" s="11" t="s">
        <v>379</v>
      </c>
      <c r="F96" s="11" t="s">
        <v>104</v>
      </c>
      <c r="G96" s="11" t="s">
        <v>105</v>
      </c>
      <c r="H96" s="11"/>
      <c r="I96" s="5">
        <f t="shared" si="2"/>
        <v>0</v>
      </c>
      <c r="J96" s="10">
        <f>Setup!$B$6+(B96*7)-1</f>
        <v>46355</v>
      </c>
      <c r="K96" s="11"/>
    </row>
    <row r="97" spans="1:11" ht="38" customHeight="1">
      <c r="A97" s="1" t="s">
        <v>380</v>
      </c>
      <c r="B97" s="1">
        <v>19</v>
      </c>
      <c r="C97" s="11" t="s">
        <v>21</v>
      </c>
      <c r="D97" s="11" t="s">
        <v>381</v>
      </c>
      <c r="E97" s="11" t="s">
        <v>382</v>
      </c>
      <c r="F97" s="11" t="s">
        <v>104</v>
      </c>
      <c r="G97" s="11" t="s">
        <v>105</v>
      </c>
      <c r="H97" s="11"/>
      <c r="I97" s="5">
        <f t="shared" si="2"/>
        <v>0</v>
      </c>
      <c r="J97" s="10">
        <f>Setup!$B$6+(B97*7)-1</f>
        <v>46355</v>
      </c>
      <c r="K97" s="11"/>
    </row>
    <row r="98" spans="1:11" ht="38" customHeight="1">
      <c r="A98" s="1" t="s">
        <v>383</v>
      </c>
      <c r="B98" s="1">
        <v>19</v>
      </c>
      <c r="C98" s="11" t="s">
        <v>21</v>
      </c>
      <c r="D98" s="11" t="s">
        <v>384</v>
      </c>
      <c r="E98" s="11" t="s">
        <v>385</v>
      </c>
      <c r="F98" s="11" t="s">
        <v>104</v>
      </c>
      <c r="G98" s="11" t="s">
        <v>105</v>
      </c>
      <c r="H98" s="11"/>
      <c r="I98" s="5">
        <f t="shared" si="2"/>
        <v>0</v>
      </c>
      <c r="J98" s="10">
        <f>Setup!$B$6+(B98*7)-1</f>
        <v>46355</v>
      </c>
      <c r="K98" s="11"/>
    </row>
    <row r="99" spans="1:11" ht="38" customHeight="1">
      <c r="A99" s="1" t="s">
        <v>386</v>
      </c>
      <c r="B99" s="1">
        <v>19</v>
      </c>
      <c r="C99" s="11" t="s">
        <v>21</v>
      </c>
      <c r="D99" s="11" t="s">
        <v>387</v>
      </c>
      <c r="E99" s="11" t="s">
        <v>388</v>
      </c>
      <c r="F99" s="11" t="s">
        <v>133</v>
      </c>
      <c r="G99" s="11" t="s">
        <v>105</v>
      </c>
      <c r="H99" s="11"/>
      <c r="I99" s="5">
        <f t="shared" si="2"/>
        <v>0</v>
      </c>
      <c r="J99" s="10">
        <f>Setup!$B$6+(B99*7)-1</f>
        <v>46355</v>
      </c>
      <c r="K99" s="11"/>
    </row>
    <row r="100" spans="1:11" ht="38" customHeight="1">
      <c r="A100" s="1" t="s">
        <v>389</v>
      </c>
      <c r="B100" s="1">
        <v>20</v>
      </c>
      <c r="C100" s="11" t="s">
        <v>21</v>
      </c>
      <c r="D100" s="11" t="s">
        <v>390</v>
      </c>
      <c r="E100" s="11" t="s">
        <v>391</v>
      </c>
      <c r="F100" s="11" t="s">
        <v>104</v>
      </c>
      <c r="G100" s="11" t="s">
        <v>105</v>
      </c>
      <c r="H100" s="11"/>
      <c r="I100" s="5">
        <f t="shared" si="2"/>
        <v>0</v>
      </c>
      <c r="J100" s="10">
        <f>Setup!$B$6+(B100*7)-1</f>
        <v>46362</v>
      </c>
      <c r="K100" s="11"/>
    </row>
    <row r="101" spans="1:11" ht="38" customHeight="1">
      <c r="A101" s="1" t="s">
        <v>392</v>
      </c>
      <c r="B101" s="1">
        <v>20</v>
      </c>
      <c r="C101" s="11" t="s">
        <v>21</v>
      </c>
      <c r="D101" s="11" t="s">
        <v>393</v>
      </c>
      <c r="E101" s="11" t="s">
        <v>394</v>
      </c>
      <c r="F101" s="11" t="s">
        <v>104</v>
      </c>
      <c r="G101" s="11" t="s">
        <v>105</v>
      </c>
      <c r="H101" s="11"/>
      <c r="I101" s="5">
        <f t="shared" ref="I101:I134" si="3">IF(G101="Completed",1,IF(G101="In Progress",0.5,IF(G101="Blocked",0.25,0)))</f>
        <v>0</v>
      </c>
      <c r="J101" s="10">
        <f>Setup!$B$6+(B101*7)-1</f>
        <v>46362</v>
      </c>
      <c r="K101" s="11"/>
    </row>
    <row r="102" spans="1:11" ht="38" customHeight="1">
      <c r="A102" s="1" t="s">
        <v>395</v>
      </c>
      <c r="B102" s="1">
        <v>20</v>
      </c>
      <c r="C102" s="11" t="s">
        <v>21</v>
      </c>
      <c r="D102" s="11" t="s">
        <v>396</v>
      </c>
      <c r="E102" s="11" t="s">
        <v>397</v>
      </c>
      <c r="F102" s="11" t="s">
        <v>133</v>
      </c>
      <c r="G102" s="11" t="s">
        <v>105</v>
      </c>
      <c r="H102" s="11"/>
      <c r="I102" s="5">
        <f t="shared" si="3"/>
        <v>0</v>
      </c>
      <c r="J102" s="10">
        <f>Setup!$B$6+(B102*7)-1</f>
        <v>46362</v>
      </c>
      <c r="K102" s="11"/>
    </row>
    <row r="103" spans="1:11" ht="38" customHeight="1">
      <c r="A103" s="1" t="s">
        <v>398</v>
      </c>
      <c r="B103" s="1">
        <v>20</v>
      </c>
      <c r="C103" s="11" t="s">
        <v>21</v>
      </c>
      <c r="D103" s="11" t="s">
        <v>399</v>
      </c>
      <c r="E103" s="11" t="s">
        <v>400</v>
      </c>
      <c r="F103" s="11" t="s">
        <v>104</v>
      </c>
      <c r="G103" s="11" t="s">
        <v>105</v>
      </c>
      <c r="H103" s="11"/>
      <c r="I103" s="5">
        <f t="shared" si="3"/>
        <v>0</v>
      </c>
      <c r="J103" s="10">
        <f>Setup!$B$6+(B103*7)-1</f>
        <v>46362</v>
      </c>
      <c r="K103" s="11"/>
    </row>
    <row r="104" spans="1:11" ht="38" customHeight="1">
      <c r="A104" s="1" t="s">
        <v>401</v>
      </c>
      <c r="B104" s="1">
        <v>20</v>
      </c>
      <c r="C104" s="11" t="s">
        <v>21</v>
      </c>
      <c r="D104" s="11" t="s">
        <v>402</v>
      </c>
      <c r="E104" s="11" t="s">
        <v>403</v>
      </c>
      <c r="F104" s="11" t="s">
        <v>133</v>
      </c>
      <c r="G104" s="11" t="s">
        <v>105</v>
      </c>
      <c r="H104" s="11"/>
      <c r="I104" s="5">
        <f t="shared" si="3"/>
        <v>0</v>
      </c>
      <c r="J104" s="10">
        <f>Setup!$B$6+(B104*7)-1</f>
        <v>46362</v>
      </c>
      <c r="K104" s="11"/>
    </row>
    <row r="105" spans="1:11" ht="38" customHeight="1">
      <c r="A105" s="1" t="s">
        <v>404</v>
      </c>
      <c r="B105" s="1">
        <v>21</v>
      </c>
      <c r="C105" s="11" t="s">
        <v>22</v>
      </c>
      <c r="D105" s="11" t="s">
        <v>405</v>
      </c>
      <c r="E105" s="11" t="s">
        <v>406</v>
      </c>
      <c r="F105" s="11" t="s">
        <v>104</v>
      </c>
      <c r="G105" s="11" t="s">
        <v>105</v>
      </c>
      <c r="H105" s="11"/>
      <c r="I105" s="5">
        <f t="shared" si="3"/>
        <v>0</v>
      </c>
      <c r="J105" s="10">
        <f>Setup!$B$6+(B105*7)-1</f>
        <v>46369</v>
      </c>
      <c r="K105" s="11"/>
    </row>
    <row r="106" spans="1:11" ht="38" customHeight="1">
      <c r="A106" s="1" t="s">
        <v>407</v>
      </c>
      <c r="B106" s="1">
        <v>21</v>
      </c>
      <c r="C106" s="11" t="s">
        <v>22</v>
      </c>
      <c r="D106" s="11" t="s">
        <v>408</v>
      </c>
      <c r="E106" s="11" t="s">
        <v>409</v>
      </c>
      <c r="F106" s="11" t="s">
        <v>104</v>
      </c>
      <c r="G106" s="11" t="s">
        <v>105</v>
      </c>
      <c r="H106" s="11"/>
      <c r="I106" s="5">
        <f t="shared" si="3"/>
        <v>0</v>
      </c>
      <c r="J106" s="10">
        <f>Setup!$B$6+(B106*7)-1</f>
        <v>46369</v>
      </c>
      <c r="K106" s="11"/>
    </row>
    <row r="107" spans="1:11" ht="38" customHeight="1">
      <c r="A107" s="1" t="s">
        <v>410</v>
      </c>
      <c r="B107" s="1">
        <v>21</v>
      </c>
      <c r="C107" s="11" t="s">
        <v>22</v>
      </c>
      <c r="D107" s="11" t="s">
        <v>411</v>
      </c>
      <c r="E107" s="11" t="s">
        <v>412</v>
      </c>
      <c r="F107" s="11" t="s">
        <v>104</v>
      </c>
      <c r="G107" s="11" t="s">
        <v>105</v>
      </c>
      <c r="H107" s="11"/>
      <c r="I107" s="5">
        <f t="shared" si="3"/>
        <v>0</v>
      </c>
      <c r="J107" s="10">
        <f>Setup!$B$6+(B107*7)-1</f>
        <v>46369</v>
      </c>
      <c r="K107" s="11"/>
    </row>
    <row r="108" spans="1:11" ht="38" customHeight="1">
      <c r="A108" s="1" t="s">
        <v>413</v>
      </c>
      <c r="B108" s="1">
        <v>21</v>
      </c>
      <c r="C108" s="11" t="s">
        <v>22</v>
      </c>
      <c r="D108" s="11" t="s">
        <v>414</v>
      </c>
      <c r="E108" s="11" t="s">
        <v>415</v>
      </c>
      <c r="F108" s="11" t="s">
        <v>104</v>
      </c>
      <c r="G108" s="11" t="s">
        <v>105</v>
      </c>
      <c r="H108" s="11"/>
      <c r="I108" s="5">
        <f t="shared" si="3"/>
        <v>0</v>
      </c>
      <c r="J108" s="10">
        <f>Setup!$B$6+(B108*7)-1</f>
        <v>46369</v>
      </c>
      <c r="K108" s="11"/>
    </row>
    <row r="109" spans="1:11" ht="38" customHeight="1">
      <c r="A109" s="1" t="s">
        <v>416</v>
      </c>
      <c r="B109" s="1">
        <v>21</v>
      </c>
      <c r="C109" s="11" t="s">
        <v>22</v>
      </c>
      <c r="D109" s="11" t="s">
        <v>417</v>
      </c>
      <c r="E109" s="11" t="s">
        <v>418</v>
      </c>
      <c r="F109" s="11" t="s">
        <v>104</v>
      </c>
      <c r="G109" s="11" t="s">
        <v>105</v>
      </c>
      <c r="H109" s="11"/>
      <c r="I109" s="5">
        <f t="shared" si="3"/>
        <v>0</v>
      </c>
      <c r="J109" s="10">
        <f>Setup!$B$6+(B109*7)-1</f>
        <v>46369</v>
      </c>
      <c r="K109" s="11"/>
    </row>
    <row r="110" spans="1:11" ht="38" customHeight="1">
      <c r="A110" s="1" t="s">
        <v>419</v>
      </c>
      <c r="B110" s="1">
        <v>22</v>
      </c>
      <c r="C110" s="11" t="s">
        <v>22</v>
      </c>
      <c r="D110" s="11" t="s">
        <v>420</v>
      </c>
      <c r="E110" s="11" t="s">
        <v>421</v>
      </c>
      <c r="F110" s="11" t="s">
        <v>104</v>
      </c>
      <c r="G110" s="11" t="s">
        <v>105</v>
      </c>
      <c r="H110" s="11"/>
      <c r="I110" s="5">
        <f t="shared" si="3"/>
        <v>0</v>
      </c>
      <c r="J110" s="10">
        <f>Setup!$B$6+(B110*7)-1</f>
        <v>46376</v>
      </c>
      <c r="K110" s="11"/>
    </row>
    <row r="111" spans="1:11" ht="38" customHeight="1">
      <c r="A111" s="1" t="s">
        <v>422</v>
      </c>
      <c r="B111" s="1">
        <v>22</v>
      </c>
      <c r="C111" s="11" t="s">
        <v>22</v>
      </c>
      <c r="D111" s="11" t="s">
        <v>423</v>
      </c>
      <c r="E111" s="11" t="s">
        <v>424</v>
      </c>
      <c r="F111" s="11" t="s">
        <v>104</v>
      </c>
      <c r="G111" s="11" t="s">
        <v>105</v>
      </c>
      <c r="H111" s="11"/>
      <c r="I111" s="5">
        <f t="shared" si="3"/>
        <v>0</v>
      </c>
      <c r="J111" s="10">
        <f>Setup!$B$6+(B111*7)-1</f>
        <v>46376</v>
      </c>
      <c r="K111" s="11"/>
    </row>
    <row r="112" spans="1:11" ht="38" customHeight="1">
      <c r="A112" s="1" t="s">
        <v>425</v>
      </c>
      <c r="B112" s="1">
        <v>22</v>
      </c>
      <c r="C112" s="11" t="s">
        <v>22</v>
      </c>
      <c r="D112" s="11" t="s">
        <v>426</v>
      </c>
      <c r="E112" s="11" t="s">
        <v>427</v>
      </c>
      <c r="F112" s="11" t="s">
        <v>104</v>
      </c>
      <c r="G112" s="11" t="s">
        <v>105</v>
      </c>
      <c r="H112" s="11"/>
      <c r="I112" s="5">
        <f t="shared" si="3"/>
        <v>0</v>
      </c>
      <c r="J112" s="10">
        <f>Setup!$B$6+(B112*7)-1</f>
        <v>46376</v>
      </c>
      <c r="K112" s="11"/>
    </row>
    <row r="113" spans="1:11" ht="38" customHeight="1">
      <c r="A113" s="1" t="s">
        <v>428</v>
      </c>
      <c r="B113" s="1">
        <v>22</v>
      </c>
      <c r="C113" s="11" t="s">
        <v>22</v>
      </c>
      <c r="D113" s="11" t="s">
        <v>429</v>
      </c>
      <c r="E113" s="11" t="s">
        <v>430</v>
      </c>
      <c r="F113" s="11" t="s">
        <v>104</v>
      </c>
      <c r="G113" s="11" t="s">
        <v>105</v>
      </c>
      <c r="H113" s="11"/>
      <c r="I113" s="5">
        <f t="shared" si="3"/>
        <v>0</v>
      </c>
      <c r="J113" s="10">
        <f>Setup!$B$6+(B113*7)-1</f>
        <v>46376</v>
      </c>
      <c r="K113" s="11"/>
    </row>
    <row r="114" spans="1:11" ht="38" customHeight="1">
      <c r="A114" s="1" t="s">
        <v>431</v>
      </c>
      <c r="B114" s="1">
        <v>22</v>
      </c>
      <c r="C114" s="11" t="s">
        <v>22</v>
      </c>
      <c r="D114" s="11" t="s">
        <v>432</v>
      </c>
      <c r="E114" s="11" t="s">
        <v>433</v>
      </c>
      <c r="F114" s="11" t="s">
        <v>133</v>
      </c>
      <c r="G114" s="11" t="s">
        <v>105</v>
      </c>
      <c r="H114" s="11"/>
      <c r="I114" s="5">
        <f t="shared" si="3"/>
        <v>0</v>
      </c>
      <c r="J114" s="10">
        <f>Setup!$B$6+(B114*7)-1</f>
        <v>46376</v>
      </c>
      <c r="K114" s="11"/>
    </row>
    <row r="115" spans="1:11" ht="38" customHeight="1">
      <c r="A115" s="1" t="s">
        <v>434</v>
      </c>
      <c r="B115" s="1">
        <v>23</v>
      </c>
      <c r="C115" s="11" t="s">
        <v>23</v>
      </c>
      <c r="D115" s="11" t="s">
        <v>435</v>
      </c>
      <c r="E115" s="11" t="s">
        <v>436</v>
      </c>
      <c r="F115" s="11" t="s">
        <v>104</v>
      </c>
      <c r="G115" s="11" t="s">
        <v>105</v>
      </c>
      <c r="H115" s="11"/>
      <c r="I115" s="5">
        <f t="shared" si="3"/>
        <v>0</v>
      </c>
      <c r="J115" s="10">
        <f>Setup!$B$6+(B115*7)-1</f>
        <v>46383</v>
      </c>
      <c r="K115" s="11"/>
    </row>
    <row r="116" spans="1:11" ht="38" customHeight="1">
      <c r="A116" s="1" t="s">
        <v>437</v>
      </c>
      <c r="B116" s="1">
        <v>23</v>
      </c>
      <c r="C116" s="11" t="s">
        <v>23</v>
      </c>
      <c r="D116" s="11" t="s">
        <v>438</v>
      </c>
      <c r="E116" s="11" t="s">
        <v>439</v>
      </c>
      <c r="F116" s="11" t="s">
        <v>104</v>
      </c>
      <c r="G116" s="11" t="s">
        <v>105</v>
      </c>
      <c r="H116" s="11"/>
      <c r="I116" s="5">
        <f t="shared" si="3"/>
        <v>0</v>
      </c>
      <c r="J116" s="10">
        <f>Setup!$B$6+(B116*7)-1</f>
        <v>46383</v>
      </c>
      <c r="K116" s="11"/>
    </row>
    <row r="117" spans="1:11" ht="38" customHeight="1">
      <c r="A117" s="1" t="s">
        <v>440</v>
      </c>
      <c r="B117" s="1">
        <v>23</v>
      </c>
      <c r="C117" s="11" t="s">
        <v>23</v>
      </c>
      <c r="D117" s="11" t="s">
        <v>441</v>
      </c>
      <c r="E117" s="11" t="s">
        <v>442</v>
      </c>
      <c r="F117" s="11" t="s">
        <v>104</v>
      </c>
      <c r="G117" s="11" t="s">
        <v>105</v>
      </c>
      <c r="H117" s="11"/>
      <c r="I117" s="5">
        <f t="shared" si="3"/>
        <v>0</v>
      </c>
      <c r="J117" s="10">
        <f>Setup!$B$6+(B117*7)-1</f>
        <v>46383</v>
      </c>
      <c r="K117" s="11"/>
    </row>
    <row r="118" spans="1:11" ht="38" customHeight="1">
      <c r="A118" s="1" t="s">
        <v>443</v>
      </c>
      <c r="B118" s="1">
        <v>23</v>
      </c>
      <c r="C118" s="11" t="s">
        <v>23</v>
      </c>
      <c r="D118" s="11" t="s">
        <v>444</v>
      </c>
      <c r="E118" s="11" t="s">
        <v>445</v>
      </c>
      <c r="F118" s="11" t="s">
        <v>104</v>
      </c>
      <c r="G118" s="11" t="s">
        <v>105</v>
      </c>
      <c r="H118" s="11"/>
      <c r="I118" s="5">
        <f t="shared" si="3"/>
        <v>0</v>
      </c>
      <c r="J118" s="10">
        <f>Setup!$B$6+(B118*7)-1</f>
        <v>46383</v>
      </c>
      <c r="K118" s="11"/>
    </row>
    <row r="119" spans="1:11" ht="38" customHeight="1">
      <c r="A119" s="1" t="s">
        <v>446</v>
      </c>
      <c r="B119" s="1">
        <v>23</v>
      </c>
      <c r="C119" s="11" t="s">
        <v>23</v>
      </c>
      <c r="D119" s="11" t="s">
        <v>447</v>
      </c>
      <c r="E119" s="11" t="s">
        <v>448</v>
      </c>
      <c r="F119" s="11" t="s">
        <v>104</v>
      </c>
      <c r="G119" s="11" t="s">
        <v>105</v>
      </c>
      <c r="H119" s="11"/>
      <c r="I119" s="5">
        <f t="shared" si="3"/>
        <v>0</v>
      </c>
      <c r="J119" s="10">
        <f>Setup!$B$6+(B119*7)-1</f>
        <v>46383</v>
      </c>
      <c r="K119" s="11"/>
    </row>
    <row r="120" spans="1:11" ht="38" customHeight="1">
      <c r="A120" s="1" t="s">
        <v>449</v>
      </c>
      <c r="B120" s="1">
        <v>24</v>
      </c>
      <c r="C120" s="11" t="s">
        <v>23</v>
      </c>
      <c r="D120" s="11" t="s">
        <v>450</v>
      </c>
      <c r="E120" s="11" t="s">
        <v>451</v>
      </c>
      <c r="F120" s="11" t="s">
        <v>104</v>
      </c>
      <c r="G120" s="11" t="s">
        <v>105</v>
      </c>
      <c r="H120" s="11"/>
      <c r="I120" s="5">
        <f t="shared" si="3"/>
        <v>0</v>
      </c>
      <c r="J120" s="10">
        <f>Setup!$B$6+(B120*7)-1</f>
        <v>46390</v>
      </c>
      <c r="K120" s="11"/>
    </row>
    <row r="121" spans="1:11" ht="38" customHeight="1">
      <c r="A121" s="1" t="s">
        <v>452</v>
      </c>
      <c r="B121" s="1">
        <v>24</v>
      </c>
      <c r="C121" s="11" t="s">
        <v>23</v>
      </c>
      <c r="D121" s="11" t="s">
        <v>453</v>
      </c>
      <c r="E121" s="11" t="s">
        <v>454</v>
      </c>
      <c r="F121" s="11" t="s">
        <v>104</v>
      </c>
      <c r="G121" s="11" t="s">
        <v>105</v>
      </c>
      <c r="H121" s="11"/>
      <c r="I121" s="5">
        <f t="shared" si="3"/>
        <v>0</v>
      </c>
      <c r="J121" s="10">
        <f>Setup!$B$6+(B121*7)-1</f>
        <v>46390</v>
      </c>
      <c r="K121" s="11"/>
    </row>
    <row r="122" spans="1:11" ht="38" customHeight="1">
      <c r="A122" s="1" t="s">
        <v>455</v>
      </c>
      <c r="B122" s="1">
        <v>24</v>
      </c>
      <c r="C122" s="11" t="s">
        <v>23</v>
      </c>
      <c r="D122" s="11" t="s">
        <v>456</v>
      </c>
      <c r="E122" s="11" t="s">
        <v>457</v>
      </c>
      <c r="F122" s="11" t="s">
        <v>104</v>
      </c>
      <c r="G122" s="11" t="s">
        <v>105</v>
      </c>
      <c r="H122" s="11"/>
      <c r="I122" s="5">
        <f t="shared" si="3"/>
        <v>0</v>
      </c>
      <c r="J122" s="10">
        <f>Setup!$B$6+(B122*7)-1</f>
        <v>46390</v>
      </c>
      <c r="K122" s="11"/>
    </row>
    <row r="123" spans="1:11" ht="38" customHeight="1">
      <c r="A123" s="1" t="s">
        <v>458</v>
      </c>
      <c r="B123" s="1">
        <v>24</v>
      </c>
      <c r="C123" s="11" t="s">
        <v>23</v>
      </c>
      <c r="D123" s="11" t="s">
        <v>459</v>
      </c>
      <c r="E123" s="11" t="s">
        <v>460</v>
      </c>
      <c r="F123" s="11" t="s">
        <v>104</v>
      </c>
      <c r="G123" s="11" t="s">
        <v>105</v>
      </c>
      <c r="H123" s="11"/>
      <c r="I123" s="5">
        <f t="shared" si="3"/>
        <v>0</v>
      </c>
      <c r="J123" s="10">
        <f>Setup!$B$6+(B123*7)-1</f>
        <v>46390</v>
      </c>
      <c r="K123" s="11"/>
    </row>
    <row r="124" spans="1:11" ht="38" customHeight="1">
      <c r="A124" s="1" t="s">
        <v>461</v>
      </c>
      <c r="B124" s="1">
        <v>24</v>
      </c>
      <c r="C124" s="11" t="s">
        <v>23</v>
      </c>
      <c r="D124" s="11" t="s">
        <v>462</v>
      </c>
      <c r="E124" s="11" t="s">
        <v>463</v>
      </c>
      <c r="F124" s="11" t="s">
        <v>104</v>
      </c>
      <c r="G124" s="11" t="s">
        <v>105</v>
      </c>
      <c r="H124" s="11"/>
      <c r="I124" s="5">
        <f t="shared" si="3"/>
        <v>0</v>
      </c>
      <c r="J124" s="10">
        <f>Setup!$B$6+(B124*7)-1</f>
        <v>46390</v>
      </c>
      <c r="K124" s="11"/>
    </row>
    <row r="125" spans="1:11" ht="38" customHeight="1">
      <c r="A125" s="1" t="s">
        <v>464</v>
      </c>
      <c r="B125" s="1">
        <v>25</v>
      </c>
      <c r="C125" s="11" t="s">
        <v>23</v>
      </c>
      <c r="D125" s="11" t="s">
        <v>465</v>
      </c>
      <c r="E125" s="11" t="s">
        <v>466</v>
      </c>
      <c r="F125" s="11" t="s">
        <v>104</v>
      </c>
      <c r="G125" s="11" t="s">
        <v>105</v>
      </c>
      <c r="H125" s="11"/>
      <c r="I125" s="5">
        <f t="shared" si="3"/>
        <v>0</v>
      </c>
      <c r="J125" s="10">
        <f>Setup!$B$6+(B125*7)-1</f>
        <v>46397</v>
      </c>
      <c r="K125" s="11"/>
    </row>
    <row r="126" spans="1:11" ht="38" customHeight="1">
      <c r="A126" s="1" t="s">
        <v>467</v>
      </c>
      <c r="B126" s="1">
        <v>25</v>
      </c>
      <c r="C126" s="11" t="s">
        <v>23</v>
      </c>
      <c r="D126" s="11" t="s">
        <v>468</v>
      </c>
      <c r="E126" s="11" t="s">
        <v>469</v>
      </c>
      <c r="F126" s="11" t="s">
        <v>133</v>
      </c>
      <c r="G126" s="11" t="s">
        <v>105</v>
      </c>
      <c r="H126" s="11"/>
      <c r="I126" s="5">
        <f t="shared" si="3"/>
        <v>0</v>
      </c>
      <c r="J126" s="10">
        <f>Setup!$B$6+(B126*7)-1</f>
        <v>46397</v>
      </c>
      <c r="K126" s="11"/>
    </row>
    <row r="127" spans="1:11" ht="38" customHeight="1">
      <c r="A127" s="1" t="s">
        <v>470</v>
      </c>
      <c r="B127" s="1">
        <v>25</v>
      </c>
      <c r="C127" s="11" t="s">
        <v>23</v>
      </c>
      <c r="D127" s="11" t="s">
        <v>471</v>
      </c>
      <c r="E127" s="11" t="s">
        <v>472</v>
      </c>
      <c r="F127" s="11" t="s">
        <v>133</v>
      </c>
      <c r="G127" s="11" t="s">
        <v>105</v>
      </c>
      <c r="H127" s="11"/>
      <c r="I127" s="5">
        <f t="shared" si="3"/>
        <v>0</v>
      </c>
      <c r="J127" s="10">
        <f>Setup!$B$6+(B127*7)-1</f>
        <v>46397</v>
      </c>
      <c r="K127" s="11"/>
    </row>
    <row r="128" spans="1:11" ht="38" customHeight="1">
      <c r="A128" s="1" t="s">
        <v>473</v>
      </c>
      <c r="B128" s="1">
        <v>25</v>
      </c>
      <c r="C128" s="11" t="s">
        <v>23</v>
      </c>
      <c r="D128" s="11" t="s">
        <v>474</v>
      </c>
      <c r="E128" s="11" t="s">
        <v>475</v>
      </c>
      <c r="F128" s="11" t="s">
        <v>104</v>
      </c>
      <c r="G128" s="11" t="s">
        <v>105</v>
      </c>
      <c r="H128" s="11"/>
      <c r="I128" s="5">
        <f t="shared" si="3"/>
        <v>0</v>
      </c>
      <c r="J128" s="10">
        <f>Setup!$B$6+(B128*7)-1</f>
        <v>46397</v>
      </c>
      <c r="K128" s="11"/>
    </row>
    <row r="129" spans="1:11" ht="38" customHeight="1">
      <c r="A129" s="1" t="s">
        <v>476</v>
      </c>
      <c r="B129" s="1">
        <v>25</v>
      </c>
      <c r="C129" s="11" t="s">
        <v>23</v>
      </c>
      <c r="D129" s="11" t="s">
        <v>477</v>
      </c>
      <c r="E129" s="11" t="s">
        <v>478</v>
      </c>
      <c r="F129" s="11" t="s">
        <v>104</v>
      </c>
      <c r="G129" s="11" t="s">
        <v>105</v>
      </c>
      <c r="H129" s="11"/>
      <c r="I129" s="5">
        <f t="shared" si="3"/>
        <v>0</v>
      </c>
      <c r="J129" s="10">
        <f>Setup!$B$6+(B129*7)-1</f>
        <v>46397</v>
      </c>
      <c r="K129" s="11"/>
    </row>
    <row r="130" spans="1:11" ht="38" customHeight="1">
      <c r="A130" s="1" t="s">
        <v>479</v>
      </c>
      <c r="B130" s="1">
        <v>26</v>
      </c>
      <c r="C130" s="11" t="s">
        <v>23</v>
      </c>
      <c r="D130" s="11" t="s">
        <v>480</v>
      </c>
      <c r="E130" s="11" t="s">
        <v>481</v>
      </c>
      <c r="F130" s="11" t="s">
        <v>104</v>
      </c>
      <c r="G130" s="11" t="s">
        <v>105</v>
      </c>
      <c r="H130" s="11"/>
      <c r="I130" s="5">
        <f t="shared" si="3"/>
        <v>0</v>
      </c>
      <c r="J130" s="10">
        <f>Setup!$B$6+(B130*7)-1</f>
        <v>46404</v>
      </c>
      <c r="K130" s="11"/>
    </row>
    <row r="131" spans="1:11" ht="38" customHeight="1">
      <c r="A131" s="1" t="s">
        <v>482</v>
      </c>
      <c r="B131" s="1">
        <v>26</v>
      </c>
      <c r="C131" s="11" t="s">
        <v>23</v>
      </c>
      <c r="D131" s="11" t="s">
        <v>483</v>
      </c>
      <c r="E131" s="11" t="s">
        <v>484</v>
      </c>
      <c r="F131" s="11" t="s">
        <v>104</v>
      </c>
      <c r="G131" s="11" t="s">
        <v>105</v>
      </c>
      <c r="H131" s="11"/>
      <c r="I131" s="5">
        <f t="shared" si="3"/>
        <v>0</v>
      </c>
      <c r="J131" s="10">
        <f>Setup!$B$6+(B131*7)-1</f>
        <v>46404</v>
      </c>
      <c r="K131" s="11"/>
    </row>
    <row r="132" spans="1:11" ht="38" customHeight="1">
      <c r="A132" s="1" t="s">
        <v>485</v>
      </c>
      <c r="B132" s="1">
        <v>26</v>
      </c>
      <c r="C132" s="11" t="s">
        <v>23</v>
      </c>
      <c r="D132" s="11" t="s">
        <v>486</v>
      </c>
      <c r="E132" s="11" t="s">
        <v>487</v>
      </c>
      <c r="F132" s="11" t="s">
        <v>104</v>
      </c>
      <c r="G132" s="11" t="s">
        <v>105</v>
      </c>
      <c r="H132" s="11"/>
      <c r="I132" s="5">
        <f t="shared" si="3"/>
        <v>0</v>
      </c>
      <c r="J132" s="10">
        <f>Setup!$B$6+(B132*7)-1</f>
        <v>46404</v>
      </c>
      <c r="K132" s="11"/>
    </row>
    <row r="133" spans="1:11" ht="38" customHeight="1">
      <c r="A133" s="1" t="s">
        <v>488</v>
      </c>
      <c r="B133" s="1">
        <v>26</v>
      </c>
      <c r="C133" s="11" t="s">
        <v>23</v>
      </c>
      <c r="D133" s="11" t="s">
        <v>489</v>
      </c>
      <c r="E133" s="11" t="s">
        <v>490</v>
      </c>
      <c r="F133" s="11" t="s">
        <v>104</v>
      </c>
      <c r="G133" s="11" t="s">
        <v>105</v>
      </c>
      <c r="H133" s="11"/>
      <c r="I133" s="5">
        <f t="shared" si="3"/>
        <v>0</v>
      </c>
      <c r="J133" s="10">
        <f>Setup!$B$6+(B133*7)-1</f>
        <v>46404</v>
      </c>
      <c r="K133" s="11"/>
    </row>
    <row r="134" spans="1:11" ht="38" customHeight="1">
      <c r="A134" s="1" t="s">
        <v>491</v>
      </c>
      <c r="B134" s="1">
        <v>26</v>
      </c>
      <c r="C134" s="11" t="s">
        <v>23</v>
      </c>
      <c r="D134" s="11" t="s">
        <v>492</v>
      </c>
      <c r="E134" s="11" t="s">
        <v>493</v>
      </c>
      <c r="F134" s="11" t="s">
        <v>104</v>
      </c>
      <c r="G134" s="11" t="s">
        <v>105</v>
      </c>
      <c r="H134" s="11"/>
      <c r="I134" s="5">
        <f t="shared" si="3"/>
        <v>0</v>
      </c>
      <c r="J134" s="10">
        <f>Setup!$B$6+(B134*7)-1</f>
        <v>46404</v>
      </c>
      <c r="K134" s="11"/>
    </row>
  </sheetData>
  <mergeCells count="2">
    <mergeCell ref="A1:K2"/>
    <mergeCell ref="A3:K3"/>
  </mergeCells>
  <conditionalFormatting sqref="F5:F134">
    <cfRule type="containsText" dxfId="26" priority="10" operator="containsText" text="Core"/>
    <cfRule type="containsText" dxfId="25" priority="11" operator="containsText" text="Important"/>
  </conditionalFormatting>
  <conditionalFormatting sqref="G5:G134">
    <cfRule type="containsText" dxfId="24" priority="2" operator="containsText" text="In Progress"/>
    <cfRule type="containsText" dxfId="23" priority="4" operator="containsText" text="Blocked"/>
    <cfRule type="containsText" dxfId="22" priority="1" operator="containsText" text="Completed"/>
    <cfRule type="containsText" dxfId="21" priority="6" operator="containsText" text="Not Started"/>
    <cfRule type="containsText" dxfId="20" priority="8" operator="containsText" text="Partial"/>
  </conditionalFormatting>
  <conditionalFormatting sqref="I5:I134">
    <cfRule type="dataBar" priority="12">
      <dataBar>
        <cfvo type="min"/>
        <cfvo type="max"/>
        <color rgb="FF16A34A"/>
      </dataBar>
      <extLst>
        <ext xmlns:x14="http://schemas.microsoft.com/office/spreadsheetml/2009/9/main" uri="{B025F937-C7B1-47D3-B67F-A62EFF666E3E}">
          <x14:id>{3B7EFA49-9E81-27E2-45A3-6F3F54105C72}</x14:id>
        </ext>
      </extLst>
    </cfRule>
    <cfRule type="dataBar" priority="9">
      <dataBar>
        <cfvo type="min"/>
        <cfvo type="max"/>
        <color rgb="FF16A34A"/>
      </dataBar>
    </cfRule>
  </conditionalFormatting>
  <dataValidations count="2">
    <dataValidation type="list" sqref="G5:G134" xr:uid="{00000000-0002-0000-0200-000000000000}">
      <formula1>"Not Started,In Progress,Blocked,Completed"</formula1>
    </dataValidation>
    <dataValidation type="list" sqref="F5:F134" xr:uid="{00000000-0002-0000-0200-000001000000}">
      <formula1>"Core,Important,Advanced"</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B7EFA49-9E81-27E2-45A3-6F3F54105C72}">
            <x14:dataBar>
              <x14:cfvo type="min"/>
              <x14:cfvo type="max"/>
              <x14:negativeFillColor auto="1"/>
              <x14:axisColor auto="1"/>
            </x14:dataBar>
          </x14:cfRule>
          <xm:sqref>I5:I134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4"/>
  <sheetViews>
    <sheetView showGridLines="0" workbookViewId="0">
      <selection sqref="A1:J2"/>
    </sheetView>
  </sheetViews>
  <sheetFormatPr baseColWidth="10" defaultColWidth="8.83203125" defaultRowHeight="15"/>
  <cols>
    <col min="1" max="1" width="13" customWidth="1"/>
    <col min="2" max="2" width="8" customWidth="1"/>
    <col min="3" max="3" width="18" customWidth="1"/>
    <col min="4" max="4" width="31" customWidth="1"/>
    <col min="5" max="5" width="48" customWidth="1"/>
    <col min="6" max="7" width="10" customWidth="1"/>
    <col min="8" max="8" width="13" customWidth="1"/>
    <col min="9" max="9" width="32" customWidth="1"/>
    <col min="10" max="10" width="43" customWidth="1"/>
  </cols>
  <sheetData>
    <row r="1" spans="1:10" ht="30" customHeight="1">
      <c r="A1" s="31" t="s">
        <v>494</v>
      </c>
      <c r="B1" s="31" t="s">
        <v>494</v>
      </c>
      <c r="C1" s="31" t="s">
        <v>494</v>
      </c>
      <c r="D1" s="31" t="s">
        <v>494</v>
      </c>
      <c r="E1" s="31" t="s">
        <v>494</v>
      </c>
      <c r="F1" s="31" t="s">
        <v>494</v>
      </c>
      <c r="G1" s="31" t="s">
        <v>494</v>
      </c>
      <c r="H1" s="31" t="s">
        <v>494</v>
      </c>
      <c r="I1" s="31" t="s">
        <v>494</v>
      </c>
      <c r="J1" s="31" t="s">
        <v>494</v>
      </c>
    </row>
    <row r="2" spans="1:10" ht="30" customHeight="1">
      <c r="A2" s="31" t="s">
        <v>494</v>
      </c>
      <c r="B2" s="31" t="s">
        <v>494</v>
      </c>
      <c r="C2" s="31" t="s">
        <v>494</v>
      </c>
      <c r="D2" s="31" t="s">
        <v>494</v>
      </c>
      <c r="E2" s="31" t="s">
        <v>494</v>
      </c>
      <c r="F2" s="31" t="s">
        <v>494</v>
      </c>
      <c r="G2" s="31" t="s">
        <v>494</v>
      </c>
      <c r="H2" s="31" t="s">
        <v>494</v>
      </c>
      <c r="I2" s="31" t="s">
        <v>494</v>
      </c>
      <c r="J2" s="31" t="s">
        <v>494</v>
      </c>
    </row>
    <row r="3" spans="1:10" ht="22" customHeight="1">
      <c r="A3" s="32" t="s">
        <v>495</v>
      </c>
      <c r="B3" s="32" t="s">
        <v>495</v>
      </c>
      <c r="C3" s="32" t="s">
        <v>495</v>
      </c>
      <c r="D3" s="32" t="s">
        <v>495</v>
      </c>
      <c r="E3" s="32" t="s">
        <v>495</v>
      </c>
      <c r="F3" s="32" t="s">
        <v>495</v>
      </c>
      <c r="G3" s="32" t="s">
        <v>495</v>
      </c>
      <c r="H3" s="32" t="s">
        <v>495</v>
      </c>
      <c r="I3" s="32" t="s">
        <v>495</v>
      </c>
      <c r="J3" s="32" t="s">
        <v>495</v>
      </c>
    </row>
    <row r="4" spans="1:10">
      <c r="A4" s="25" t="s">
        <v>496</v>
      </c>
      <c r="B4" s="26" t="s">
        <v>24</v>
      </c>
      <c r="C4" s="26" t="s">
        <v>497</v>
      </c>
      <c r="D4" s="26" t="s">
        <v>95</v>
      </c>
      <c r="E4" s="26" t="s">
        <v>498</v>
      </c>
      <c r="F4" s="26" t="s">
        <v>499</v>
      </c>
      <c r="G4" s="26" t="s">
        <v>500</v>
      </c>
      <c r="H4" s="26" t="s">
        <v>501</v>
      </c>
      <c r="I4" s="26" t="s">
        <v>98</v>
      </c>
      <c r="J4" s="27" t="s">
        <v>502</v>
      </c>
    </row>
    <row r="5" spans="1:10">
      <c r="A5" s="10"/>
      <c r="B5" s="1" t="str">
        <f>IF(A5="","",MAX(1,MIN(Setup!$B$8,INT((A5-Setup!$B$6)/7)+1)))</f>
        <v/>
      </c>
      <c r="C5" s="11"/>
      <c r="D5" s="11"/>
      <c r="E5" s="11"/>
      <c r="F5" s="15"/>
      <c r="G5" s="16" t="str">
        <f t="shared" ref="G5:G36" si="0">IF(F5="","",F5/60)</f>
        <v/>
      </c>
      <c r="H5" s="1"/>
      <c r="I5" s="11"/>
      <c r="J5" s="11"/>
    </row>
    <row r="6" spans="1:10">
      <c r="A6" s="10"/>
      <c r="B6" s="1" t="str">
        <f>IF(A6="","",MAX(1,MIN(Setup!$B$8,INT((A6-Setup!$B$6)/7)+1)))</f>
        <v/>
      </c>
      <c r="C6" s="11"/>
      <c r="D6" s="11"/>
      <c r="E6" s="11"/>
      <c r="F6" s="15"/>
      <c r="G6" s="16" t="str">
        <f t="shared" si="0"/>
        <v/>
      </c>
      <c r="H6" s="1"/>
      <c r="I6" s="11"/>
      <c r="J6" s="11"/>
    </row>
    <row r="7" spans="1:10">
      <c r="A7" s="10"/>
      <c r="B7" s="1" t="str">
        <f>IF(A7="","",MAX(1,MIN(Setup!$B$8,INT((A7-Setup!$B$6)/7)+1)))</f>
        <v/>
      </c>
      <c r="C7" s="11"/>
      <c r="D7" s="11"/>
      <c r="E7" s="11"/>
      <c r="F7" s="15"/>
      <c r="G7" s="16" t="str">
        <f t="shared" si="0"/>
        <v/>
      </c>
      <c r="H7" s="1"/>
      <c r="I7" s="11"/>
      <c r="J7" s="11"/>
    </row>
    <row r="8" spans="1:10">
      <c r="A8" s="10"/>
      <c r="B8" s="1" t="str">
        <f>IF(A8="","",MAX(1,MIN(Setup!$B$8,INT((A8-Setup!$B$6)/7)+1)))</f>
        <v/>
      </c>
      <c r="C8" s="11"/>
      <c r="D8" s="11"/>
      <c r="E8" s="11"/>
      <c r="F8" s="15"/>
      <c r="G8" s="16" t="str">
        <f t="shared" si="0"/>
        <v/>
      </c>
      <c r="H8" s="1"/>
      <c r="I8" s="11"/>
      <c r="J8" s="11"/>
    </row>
    <row r="9" spans="1:10">
      <c r="A9" s="10"/>
      <c r="B9" s="1" t="str">
        <f>IF(A9="","",MAX(1,MIN(Setup!$B$8,INT((A9-Setup!$B$6)/7)+1)))</f>
        <v/>
      </c>
      <c r="C9" s="11"/>
      <c r="D9" s="11"/>
      <c r="E9" s="11"/>
      <c r="F9" s="15"/>
      <c r="G9" s="16" t="str">
        <f t="shared" si="0"/>
        <v/>
      </c>
      <c r="H9" s="1"/>
      <c r="I9" s="11"/>
      <c r="J9" s="11"/>
    </row>
    <row r="10" spans="1:10">
      <c r="A10" s="10"/>
      <c r="B10" s="1" t="str">
        <f>IF(A10="","",MAX(1,MIN(Setup!$B$8,INT((A10-Setup!$B$6)/7)+1)))</f>
        <v/>
      </c>
      <c r="C10" s="11"/>
      <c r="D10" s="11"/>
      <c r="E10" s="11"/>
      <c r="F10" s="15"/>
      <c r="G10" s="16" t="str">
        <f t="shared" si="0"/>
        <v/>
      </c>
      <c r="H10" s="1"/>
      <c r="I10" s="11"/>
      <c r="J10" s="11"/>
    </row>
    <row r="11" spans="1:10">
      <c r="A11" s="10"/>
      <c r="B11" s="1" t="str">
        <f>IF(A11="","",MAX(1,MIN(Setup!$B$8,INT((A11-Setup!$B$6)/7)+1)))</f>
        <v/>
      </c>
      <c r="C11" s="11"/>
      <c r="D11" s="11"/>
      <c r="E11" s="11"/>
      <c r="F11" s="15"/>
      <c r="G11" s="16" t="str">
        <f t="shared" si="0"/>
        <v/>
      </c>
      <c r="H11" s="1"/>
      <c r="I11" s="11"/>
      <c r="J11" s="11"/>
    </row>
    <row r="12" spans="1:10">
      <c r="A12" s="10"/>
      <c r="B12" s="1" t="str">
        <f>IF(A12="","",MAX(1,MIN(Setup!$B$8,INT((A12-Setup!$B$6)/7)+1)))</f>
        <v/>
      </c>
      <c r="C12" s="11"/>
      <c r="D12" s="11"/>
      <c r="E12" s="11"/>
      <c r="F12" s="15"/>
      <c r="G12" s="16" t="str">
        <f t="shared" si="0"/>
        <v/>
      </c>
      <c r="H12" s="1"/>
      <c r="I12" s="11"/>
      <c r="J12" s="11"/>
    </row>
    <row r="13" spans="1:10">
      <c r="A13" s="10"/>
      <c r="B13" s="1" t="str">
        <f>IF(A13="","",MAX(1,MIN(Setup!$B$8,INT((A13-Setup!$B$6)/7)+1)))</f>
        <v/>
      </c>
      <c r="C13" s="11"/>
      <c r="D13" s="11"/>
      <c r="E13" s="11"/>
      <c r="F13" s="15"/>
      <c r="G13" s="16" t="str">
        <f t="shared" si="0"/>
        <v/>
      </c>
      <c r="H13" s="1"/>
      <c r="I13" s="11"/>
      <c r="J13" s="11"/>
    </row>
    <row r="14" spans="1:10">
      <c r="A14" s="10"/>
      <c r="B14" s="1" t="str">
        <f>IF(A14="","",MAX(1,MIN(Setup!$B$8,INT((A14-Setup!$B$6)/7)+1)))</f>
        <v/>
      </c>
      <c r="C14" s="11"/>
      <c r="D14" s="11"/>
      <c r="E14" s="11"/>
      <c r="F14" s="15"/>
      <c r="G14" s="16" t="str">
        <f t="shared" si="0"/>
        <v/>
      </c>
      <c r="H14" s="1"/>
      <c r="I14" s="11"/>
      <c r="J14" s="11"/>
    </row>
    <row r="15" spans="1:10">
      <c r="A15" s="10"/>
      <c r="B15" s="1" t="str">
        <f>IF(A15="","",MAX(1,MIN(Setup!$B$8,INT((A15-Setup!$B$6)/7)+1)))</f>
        <v/>
      </c>
      <c r="C15" s="11"/>
      <c r="D15" s="11"/>
      <c r="E15" s="11"/>
      <c r="F15" s="15"/>
      <c r="G15" s="16" t="str">
        <f t="shared" si="0"/>
        <v/>
      </c>
      <c r="H15" s="1"/>
      <c r="I15" s="11"/>
      <c r="J15" s="11"/>
    </row>
    <row r="16" spans="1:10">
      <c r="A16" s="10"/>
      <c r="B16" s="1" t="str">
        <f>IF(A16="","",MAX(1,MIN(Setup!$B$8,INT((A16-Setup!$B$6)/7)+1)))</f>
        <v/>
      </c>
      <c r="C16" s="11"/>
      <c r="D16" s="11"/>
      <c r="E16" s="11"/>
      <c r="F16" s="15"/>
      <c r="G16" s="16" t="str">
        <f t="shared" si="0"/>
        <v/>
      </c>
      <c r="H16" s="1"/>
      <c r="I16" s="11"/>
      <c r="J16" s="11"/>
    </row>
    <row r="17" spans="1:10">
      <c r="A17" s="10"/>
      <c r="B17" s="1" t="str">
        <f>IF(A17="","",MAX(1,MIN(Setup!$B$8,INT((A17-Setup!$B$6)/7)+1)))</f>
        <v/>
      </c>
      <c r="C17" s="11"/>
      <c r="D17" s="11"/>
      <c r="E17" s="11"/>
      <c r="F17" s="15"/>
      <c r="G17" s="16" t="str">
        <f t="shared" si="0"/>
        <v/>
      </c>
      <c r="H17" s="1"/>
      <c r="I17" s="11"/>
      <c r="J17" s="11"/>
    </row>
    <row r="18" spans="1:10">
      <c r="A18" s="10"/>
      <c r="B18" s="1" t="str">
        <f>IF(A18="","",MAX(1,MIN(Setup!$B$8,INT((A18-Setup!$B$6)/7)+1)))</f>
        <v/>
      </c>
      <c r="C18" s="11"/>
      <c r="D18" s="11"/>
      <c r="E18" s="11"/>
      <c r="F18" s="15"/>
      <c r="G18" s="16" t="str">
        <f t="shared" si="0"/>
        <v/>
      </c>
      <c r="H18" s="1"/>
      <c r="I18" s="11"/>
      <c r="J18" s="11"/>
    </row>
    <row r="19" spans="1:10">
      <c r="A19" s="10"/>
      <c r="B19" s="1" t="str">
        <f>IF(A19="","",MAX(1,MIN(Setup!$B$8,INT((A19-Setup!$B$6)/7)+1)))</f>
        <v/>
      </c>
      <c r="C19" s="11"/>
      <c r="D19" s="11"/>
      <c r="E19" s="11"/>
      <c r="F19" s="15"/>
      <c r="G19" s="16" t="str">
        <f t="shared" si="0"/>
        <v/>
      </c>
      <c r="H19" s="1"/>
      <c r="I19" s="11"/>
      <c r="J19" s="11"/>
    </row>
    <row r="20" spans="1:10">
      <c r="A20" s="10"/>
      <c r="B20" s="1" t="str">
        <f>IF(A20="","",MAX(1,MIN(Setup!$B$8,INT((A20-Setup!$B$6)/7)+1)))</f>
        <v/>
      </c>
      <c r="C20" s="11"/>
      <c r="D20" s="11"/>
      <c r="E20" s="11"/>
      <c r="F20" s="15"/>
      <c r="G20" s="16" t="str">
        <f t="shared" si="0"/>
        <v/>
      </c>
      <c r="H20" s="1"/>
      <c r="I20" s="11"/>
      <c r="J20" s="11"/>
    </row>
    <row r="21" spans="1:10">
      <c r="A21" s="10"/>
      <c r="B21" s="1" t="str">
        <f>IF(A21="","",MAX(1,MIN(Setup!$B$8,INT((A21-Setup!$B$6)/7)+1)))</f>
        <v/>
      </c>
      <c r="C21" s="11"/>
      <c r="D21" s="11"/>
      <c r="E21" s="11"/>
      <c r="F21" s="15"/>
      <c r="G21" s="16" t="str">
        <f t="shared" si="0"/>
        <v/>
      </c>
      <c r="H21" s="1"/>
      <c r="I21" s="11"/>
      <c r="J21" s="11"/>
    </row>
    <row r="22" spans="1:10">
      <c r="A22" s="10"/>
      <c r="B22" s="1" t="str">
        <f>IF(A22="","",MAX(1,MIN(Setup!$B$8,INT((A22-Setup!$B$6)/7)+1)))</f>
        <v/>
      </c>
      <c r="C22" s="11"/>
      <c r="D22" s="11"/>
      <c r="E22" s="11"/>
      <c r="F22" s="15"/>
      <c r="G22" s="16" t="str">
        <f t="shared" si="0"/>
        <v/>
      </c>
      <c r="H22" s="1"/>
      <c r="I22" s="11"/>
      <c r="J22" s="11"/>
    </row>
    <row r="23" spans="1:10">
      <c r="A23" s="10"/>
      <c r="B23" s="1" t="str">
        <f>IF(A23="","",MAX(1,MIN(Setup!$B$8,INT((A23-Setup!$B$6)/7)+1)))</f>
        <v/>
      </c>
      <c r="C23" s="11"/>
      <c r="D23" s="11"/>
      <c r="E23" s="11"/>
      <c r="F23" s="15"/>
      <c r="G23" s="16" t="str">
        <f t="shared" si="0"/>
        <v/>
      </c>
      <c r="H23" s="1"/>
      <c r="I23" s="11"/>
      <c r="J23" s="11"/>
    </row>
    <row r="24" spans="1:10">
      <c r="A24" s="10"/>
      <c r="B24" s="1" t="str">
        <f>IF(A24="","",MAX(1,MIN(Setup!$B$8,INT((A24-Setup!$B$6)/7)+1)))</f>
        <v/>
      </c>
      <c r="C24" s="11"/>
      <c r="D24" s="11"/>
      <c r="E24" s="11"/>
      <c r="F24" s="15"/>
      <c r="G24" s="16" t="str">
        <f t="shared" si="0"/>
        <v/>
      </c>
      <c r="H24" s="1"/>
      <c r="I24" s="11"/>
      <c r="J24" s="11"/>
    </row>
    <row r="25" spans="1:10">
      <c r="A25" s="10"/>
      <c r="B25" s="1" t="str">
        <f>IF(A25="","",MAX(1,MIN(Setup!$B$8,INT((A25-Setup!$B$6)/7)+1)))</f>
        <v/>
      </c>
      <c r="C25" s="11"/>
      <c r="D25" s="11"/>
      <c r="E25" s="11"/>
      <c r="F25" s="15"/>
      <c r="G25" s="16" t="str">
        <f t="shared" si="0"/>
        <v/>
      </c>
      <c r="H25" s="1"/>
      <c r="I25" s="11"/>
      <c r="J25" s="11"/>
    </row>
    <row r="26" spans="1:10">
      <c r="A26" s="10"/>
      <c r="B26" s="1" t="str">
        <f>IF(A26="","",MAX(1,MIN(Setup!$B$8,INT((A26-Setup!$B$6)/7)+1)))</f>
        <v/>
      </c>
      <c r="C26" s="11"/>
      <c r="D26" s="11"/>
      <c r="E26" s="11"/>
      <c r="F26" s="15"/>
      <c r="G26" s="16" t="str">
        <f t="shared" si="0"/>
        <v/>
      </c>
      <c r="H26" s="1"/>
      <c r="I26" s="11"/>
      <c r="J26" s="11"/>
    </row>
    <row r="27" spans="1:10">
      <c r="A27" s="10"/>
      <c r="B27" s="1" t="str">
        <f>IF(A27="","",MAX(1,MIN(Setup!$B$8,INT((A27-Setup!$B$6)/7)+1)))</f>
        <v/>
      </c>
      <c r="C27" s="11"/>
      <c r="D27" s="11"/>
      <c r="E27" s="11"/>
      <c r="F27" s="15"/>
      <c r="G27" s="16" t="str">
        <f t="shared" si="0"/>
        <v/>
      </c>
      <c r="H27" s="1"/>
      <c r="I27" s="11"/>
      <c r="J27" s="11"/>
    </row>
    <row r="28" spans="1:10">
      <c r="A28" s="10"/>
      <c r="B28" s="1" t="str">
        <f>IF(A28="","",MAX(1,MIN(Setup!$B$8,INT((A28-Setup!$B$6)/7)+1)))</f>
        <v/>
      </c>
      <c r="C28" s="11"/>
      <c r="D28" s="11"/>
      <c r="E28" s="11"/>
      <c r="F28" s="15"/>
      <c r="G28" s="16" t="str">
        <f t="shared" si="0"/>
        <v/>
      </c>
      <c r="H28" s="1"/>
      <c r="I28" s="11"/>
      <c r="J28" s="11"/>
    </row>
    <row r="29" spans="1:10">
      <c r="A29" s="10"/>
      <c r="B29" s="1" t="str">
        <f>IF(A29="","",MAX(1,MIN(Setup!$B$8,INT((A29-Setup!$B$6)/7)+1)))</f>
        <v/>
      </c>
      <c r="C29" s="11"/>
      <c r="D29" s="11"/>
      <c r="E29" s="11"/>
      <c r="F29" s="15"/>
      <c r="G29" s="16" t="str">
        <f t="shared" si="0"/>
        <v/>
      </c>
      <c r="H29" s="1"/>
      <c r="I29" s="11"/>
      <c r="J29" s="11"/>
    </row>
    <row r="30" spans="1:10">
      <c r="A30" s="10"/>
      <c r="B30" s="1" t="str">
        <f>IF(A30="","",MAX(1,MIN(Setup!$B$8,INT((A30-Setup!$B$6)/7)+1)))</f>
        <v/>
      </c>
      <c r="C30" s="11"/>
      <c r="D30" s="11"/>
      <c r="E30" s="11"/>
      <c r="F30" s="15"/>
      <c r="G30" s="16" t="str">
        <f t="shared" si="0"/>
        <v/>
      </c>
      <c r="H30" s="1"/>
      <c r="I30" s="11"/>
      <c r="J30" s="11"/>
    </row>
    <row r="31" spans="1:10">
      <c r="A31" s="10"/>
      <c r="B31" s="1" t="str">
        <f>IF(A31="","",MAX(1,MIN(Setup!$B$8,INT((A31-Setup!$B$6)/7)+1)))</f>
        <v/>
      </c>
      <c r="C31" s="11"/>
      <c r="D31" s="11"/>
      <c r="E31" s="11"/>
      <c r="F31" s="15"/>
      <c r="G31" s="16" t="str">
        <f t="shared" si="0"/>
        <v/>
      </c>
      <c r="H31" s="1"/>
      <c r="I31" s="11"/>
      <c r="J31" s="11"/>
    </row>
    <row r="32" spans="1:10">
      <c r="A32" s="10"/>
      <c r="B32" s="1" t="str">
        <f>IF(A32="","",MAX(1,MIN(Setup!$B$8,INT((A32-Setup!$B$6)/7)+1)))</f>
        <v/>
      </c>
      <c r="C32" s="11"/>
      <c r="D32" s="11"/>
      <c r="E32" s="11"/>
      <c r="F32" s="15"/>
      <c r="G32" s="16" t="str">
        <f t="shared" si="0"/>
        <v/>
      </c>
      <c r="H32" s="1"/>
      <c r="I32" s="11"/>
      <c r="J32" s="11"/>
    </row>
    <row r="33" spans="1:10">
      <c r="A33" s="10"/>
      <c r="B33" s="1" t="str">
        <f>IF(A33="","",MAX(1,MIN(Setup!$B$8,INT((A33-Setup!$B$6)/7)+1)))</f>
        <v/>
      </c>
      <c r="C33" s="11"/>
      <c r="D33" s="11"/>
      <c r="E33" s="11"/>
      <c r="F33" s="15"/>
      <c r="G33" s="16" t="str">
        <f t="shared" si="0"/>
        <v/>
      </c>
      <c r="H33" s="1"/>
      <c r="I33" s="11"/>
      <c r="J33" s="11"/>
    </row>
    <row r="34" spans="1:10">
      <c r="A34" s="10"/>
      <c r="B34" s="1" t="str">
        <f>IF(A34="","",MAX(1,MIN(Setup!$B$8,INT((A34-Setup!$B$6)/7)+1)))</f>
        <v/>
      </c>
      <c r="C34" s="11"/>
      <c r="D34" s="11"/>
      <c r="E34" s="11"/>
      <c r="F34" s="15"/>
      <c r="G34" s="16" t="str">
        <f t="shared" si="0"/>
        <v/>
      </c>
      <c r="H34" s="1"/>
      <c r="I34" s="11"/>
      <c r="J34" s="11"/>
    </row>
    <row r="35" spans="1:10">
      <c r="A35" s="10"/>
      <c r="B35" s="1" t="str">
        <f>IF(A35="","",MAX(1,MIN(Setup!$B$8,INT((A35-Setup!$B$6)/7)+1)))</f>
        <v/>
      </c>
      <c r="C35" s="11"/>
      <c r="D35" s="11"/>
      <c r="E35" s="11"/>
      <c r="F35" s="15"/>
      <c r="G35" s="16" t="str">
        <f t="shared" si="0"/>
        <v/>
      </c>
      <c r="H35" s="1"/>
      <c r="I35" s="11"/>
      <c r="J35" s="11"/>
    </row>
    <row r="36" spans="1:10">
      <c r="A36" s="10"/>
      <c r="B36" s="1" t="str">
        <f>IF(A36="","",MAX(1,MIN(Setup!$B$8,INT((A36-Setup!$B$6)/7)+1)))</f>
        <v/>
      </c>
      <c r="C36" s="11"/>
      <c r="D36" s="11"/>
      <c r="E36" s="11"/>
      <c r="F36" s="15"/>
      <c r="G36" s="16" t="str">
        <f t="shared" si="0"/>
        <v/>
      </c>
      <c r="H36" s="1"/>
      <c r="I36" s="11"/>
      <c r="J36" s="11"/>
    </row>
    <row r="37" spans="1:10">
      <c r="A37" s="10"/>
      <c r="B37" s="1" t="str">
        <f>IF(A37="","",MAX(1,MIN(Setup!$B$8,INT((A37-Setup!$B$6)/7)+1)))</f>
        <v/>
      </c>
      <c r="C37" s="11"/>
      <c r="D37" s="11"/>
      <c r="E37" s="11"/>
      <c r="F37" s="15"/>
      <c r="G37" s="16" t="str">
        <f t="shared" ref="G37:G68" si="1">IF(F37="","",F37/60)</f>
        <v/>
      </c>
      <c r="H37" s="1"/>
      <c r="I37" s="11"/>
      <c r="J37" s="11"/>
    </row>
    <row r="38" spans="1:10">
      <c r="A38" s="10"/>
      <c r="B38" s="1" t="str">
        <f>IF(A38="","",MAX(1,MIN(Setup!$B$8,INT((A38-Setup!$B$6)/7)+1)))</f>
        <v/>
      </c>
      <c r="C38" s="11"/>
      <c r="D38" s="11"/>
      <c r="E38" s="11"/>
      <c r="F38" s="15"/>
      <c r="G38" s="16" t="str">
        <f t="shared" si="1"/>
        <v/>
      </c>
      <c r="H38" s="1"/>
      <c r="I38" s="11"/>
      <c r="J38" s="11"/>
    </row>
    <row r="39" spans="1:10">
      <c r="A39" s="10"/>
      <c r="B39" s="1" t="str">
        <f>IF(A39="","",MAX(1,MIN(Setup!$B$8,INT((A39-Setup!$B$6)/7)+1)))</f>
        <v/>
      </c>
      <c r="C39" s="11"/>
      <c r="D39" s="11"/>
      <c r="E39" s="11"/>
      <c r="F39" s="15"/>
      <c r="G39" s="16" t="str">
        <f t="shared" si="1"/>
        <v/>
      </c>
      <c r="H39" s="1"/>
      <c r="I39" s="11"/>
      <c r="J39" s="11"/>
    </row>
    <row r="40" spans="1:10">
      <c r="A40" s="10"/>
      <c r="B40" s="1" t="str">
        <f>IF(A40="","",MAX(1,MIN(Setup!$B$8,INT((A40-Setup!$B$6)/7)+1)))</f>
        <v/>
      </c>
      <c r="C40" s="11"/>
      <c r="D40" s="11"/>
      <c r="E40" s="11"/>
      <c r="F40" s="15"/>
      <c r="G40" s="16" t="str">
        <f t="shared" si="1"/>
        <v/>
      </c>
      <c r="H40" s="1"/>
      <c r="I40" s="11"/>
      <c r="J40" s="11"/>
    </row>
    <row r="41" spans="1:10">
      <c r="A41" s="10"/>
      <c r="B41" s="1" t="str">
        <f>IF(A41="","",MAX(1,MIN(Setup!$B$8,INT((A41-Setup!$B$6)/7)+1)))</f>
        <v/>
      </c>
      <c r="C41" s="11"/>
      <c r="D41" s="11"/>
      <c r="E41" s="11"/>
      <c r="F41" s="15"/>
      <c r="G41" s="16" t="str">
        <f t="shared" si="1"/>
        <v/>
      </c>
      <c r="H41" s="1"/>
      <c r="I41" s="11"/>
      <c r="J41" s="11"/>
    </row>
    <row r="42" spans="1:10">
      <c r="A42" s="10"/>
      <c r="B42" s="1" t="str">
        <f>IF(A42="","",MAX(1,MIN(Setup!$B$8,INT((A42-Setup!$B$6)/7)+1)))</f>
        <v/>
      </c>
      <c r="C42" s="11"/>
      <c r="D42" s="11"/>
      <c r="E42" s="11"/>
      <c r="F42" s="15"/>
      <c r="G42" s="16" t="str">
        <f t="shared" si="1"/>
        <v/>
      </c>
      <c r="H42" s="1"/>
      <c r="I42" s="11"/>
      <c r="J42" s="11"/>
    </row>
    <row r="43" spans="1:10">
      <c r="A43" s="10"/>
      <c r="B43" s="1" t="str">
        <f>IF(A43="","",MAX(1,MIN(Setup!$B$8,INT((A43-Setup!$B$6)/7)+1)))</f>
        <v/>
      </c>
      <c r="C43" s="11"/>
      <c r="D43" s="11"/>
      <c r="E43" s="11"/>
      <c r="F43" s="15"/>
      <c r="G43" s="16" t="str">
        <f t="shared" si="1"/>
        <v/>
      </c>
      <c r="H43" s="1"/>
      <c r="I43" s="11"/>
      <c r="J43" s="11"/>
    </row>
    <row r="44" spans="1:10">
      <c r="A44" s="10"/>
      <c r="B44" s="1" t="str">
        <f>IF(A44="","",MAX(1,MIN(Setup!$B$8,INT((A44-Setup!$B$6)/7)+1)))</f>
        <v/>
      </c>
      <c r="C44" s="11"/>
      <c r="D44" s="11"/>
      <c r="E44" s="11"/>
      <c r="F44" s="15"/>
      <c r="G44" s="16" t="str">
        <f t="shared" si="1"/>
        <v/>
      </c>
      <c r="H44" s="1"/>
      <c r="I44" s="11"/>
      <c r="J44" s="11"/>
    </row>
    <row r="45" spans="1:10">
      <c r="A45" s="10"/>
      <c r="B45" s="1" t="str">
        <f>IF(A45="","",MAX(1,MIN(Setup!$B$8,INT((A45-Setup!$B$6)/7)+1)))</f>
        <v/>
      </c>
      <c r="C45" s="11"/>
      <c r="D45" s="11"/>
      <c r="E45" s="11"/>
      <c r="F45" s="15"/>
      <c r="G45" s="16" t="str">
        <f t="shared" si="1"/>
        <v/>
      </c>
      <c r="H45" s="1"/>
      <c r="I45" s="11"/>
      <c r="J45" s="11"/>
    </row>
    <row r="46" spans="1:10">
      <c r="A46" s="10"/>
      <c r="B46" s="1" t="str">
        <f>IF(A46="","",MAX(1,MIN(Setup!$B$8,INT((A46-Setup!$B$6)/7)+1)))</f>
        <v/>
      </c>
      <c r="C46" s="11"/>
      <c r="D46" s="11"/>
      <c r="E46" s="11"/>
      <c r="F46" s="15"/>
      <c r="G46" s="16" t="str">
        <f t="shared" si="1"/>
        <v/>
      </c>
      <c r="H46" s="1"/>
      <c r="I46" s="11"/>
      <c r="J46" s="11"/>
    </row>
    <row r="47" spans="1:10">
      <c r="A47" s="10"/>
      <c r="B47" s="1" t="str">
        <f>IF(A47="","",MAX(1,MIN(Setup!$B$8,INT((A47-Setup!$B$6)/7)+1)))</f>
        <v/>
      </c>
      <c r="C47" s="11"/>
      <c r="D47" s="11"/>
      <c r="E47" s="11"/>
      <c r="F47" s="15"/>
      <c r="G47" s="16" t="str">
        <f t="shared" si="1"/>
        <v/>
      </c>
      <c r="H47" s="1"/>
      <c r="I47" s="11"/>
      <c r="J47" s="11"/>
    </row>
    <row r="48" spans="1:10">
      <c r="A48" s="10"/>
      <c r="B48" s="1" t="str">
        <f>IF(A48="","",MAX(1,MIN(Setup!$B$8,INT((A48-Setup!$B$6)/7)+1)))</f>
        <v/>
      </c>
      <c r="C48" s="11"/>
      <c r="D48" s="11"/>
      <c r="E48" s="11"/>
      <c r="F48" s="15"/>
      <c r="G48" s="16" t="str">
        <f t="shared" si="1"/>
        <v/>
      </c>
      <c r="H48" s="1"/>
      <c r="I48" s="11"/>
      <c r="J48" s="11"/>
    </row>
    <row r="49" spans="1:10">
      <c r="A49" s="10"/>
      <c r="B49" s="1" t="str">
        <f>IF(A49="","",MAX(1,MIN(Setup!$B$8,INT((A49-Setup!$B$6)/7)+1)))</f>
        <v/>
      </c>
      <c r="C49" s="11"/>
      <c r="D49" s="11"/>
      <c r="E49" s="11"/>
      <c r="F49" s="15"/>
      <c r="G49" s="16" t="str">
        <f t="shared" si="1"/>
        <v/>
      </c>
      <c r="H49" s="1"/>
      <c r="I49" s="11"/>
      <c r="J49" s="11"/>
    </row>
    <row r="50" spans="1:10">
      <c r="A50" s="10"/>
      <c r="B50" s="1" t="str">
        <f>IF(A50="","",MAX(1,MIN(Setup!$B$8,INT((A50-Setup!$B$6)/7)+1)))</f>
        <v/>
      </c>
      <c r="C50" s="11"/>
      <c r="D50" s="11"/>
      <c r="E50" s="11"/>
      <c r="F50" s="15"/>
      <c r="G50" s="16" t="str">
        <f t="shared" si="1"/>
        <v/>
      </c>
      <c r="H50" s="1"/>
      <c r="I50" s="11"/>
      <c r="J50" s="11"/>
    </row>
    <row r="51" spans="1:10">
      <c r="A51" s="10"/>
      <c r="B51" s="1" t="str">
        <f>IF(A51="","",MAX(1,MIN(Setup!$B$8,INT((A51-Setup!$B$6)/7)+1)))</f>
        <v/>
      </c>
      <c r="C51" s="11"/>
      <c r="D51" s="11"/>
      <c r="E51" s="11"/>
      <c r="F51" s="15"/>
      <c r="G51" s="16" t="str">
        <f t="shared" si="1"/>
        <v/>
      </c>
      <c r="H51" s="1"/>
      <c r="I51" s="11"/>
      <c r="J51" s="11"/>
    </row>
    <row r="52" spans="1:10">
      <c r="A52" s="10"/>
      <c r="B52" s="1" t="str">
        <f>IF(A52="","",MAX(1,MIN(Setup!$B$8,INT((A52-Setup!$B$6)/7)+1)))</f>
        <v/>
      </c>
      <c r="C52" s="11"/>
      <c r="D52" s="11"/>
      <c r="E52" s="11"/>
      <c r="F52" s="15"/>
      <c r="G52" s="16" t="str">
        <f t="shared" si="1"/>
        <v/>
      </c>
      <c r="H52" s="1"/>
      <c r="I52" s="11"/>
      <c r="J52" s="11"/>
    </row>
    <row r="53" spans="1:10">
      <c r="A53" s="10"/>
      <c r="B53" s="1" t="str">
        <f>IF(A53="","",MAX(1,MIN(Setup!$B$8,INT((A53-Setup!$B$6)/7)+1)))</f>
        <v/>
      </c>
      <c r="C53" s="11"/>
      <c r="D53" s="11"/>
      <c r="E53" s="11"/>
      <c r="F53" s="15"/>
      <c r="G53" s="16" t="str">
        <f t="shared" si="1"/>
        <v/>
      </c>
      <c r="H53" s="1"/>
      <c r="I53" s="11"/>
      <c r="J53" s="11"/>
    </row>
    <row r="54" spans="1:10">
      <c r="A54" s="10"/>
      <c r="B54" s="1" t="str">
        <f>IF(A54="","",MAX(1,MIN(Setup!$B$8,INT((A54-Setup!$B$6)/7)+1)))</f>
        <v/>
      </c>
      <c r="C54" s="11"/>
      <c r="D54" s="11"/>
      <c r="E54" s="11"/>
      <c r="F54" s="15"/>
      <c r="G54" s="16" t="str">
        <f t="shared" si="1"/>
        <v/>
      </c>
      <c r="H54" s="1"/>
      <c r="I54" s="11"/>
      <c r="J54" s="11"/>
    </row>
    <row r="55" spans="1:10">
      <c r="A55" s="10"/>
      <c r="B55" s="1" t="str">
        <f>IF(A55="","",MAX(1,MIN(Setup!$B$8,INT((A55-Setup!$B$6)/7)+1)))</f>
        <v/>
      </c>
      <c r="C55" s="11"/>
      <c r="D55" s="11"/>
      <c r="E55" s="11"/>
      <c r="F55" s="15"/>
      <c r="G55" s="16" t="str">
        <f t="shared" si="1"/>
        <v/>
      </c>
      <c r="H55" s="1"/>
      <c r="I55" s="11"/>
      <c r="J55" s="11"/>
    </row>
    <row r="56" spans="1:10">
      <c r="A56" s="10"/>
      <c r="B56" s="1" t="str">
        <f>IF(A56="","",MAX(1,MIN(Setup!$B$8,INT((A56-Setup!$B$6)/7)+1)))</f>
        <v/>
      </c>
      <c r="C56" s="11"/>
      <c r="D56" s="11"/>
      <c r="E56" s="11"/>
      <c r="F56" s="15"/>
      <c r="G56" s="16" t="str">
        <f t="shared" si="1"/>
        <v/>
      </c>
      <c r="H56" s="1"/>
      <c r="I56" s="11"/>
      <c r="J56" s="11"/>
    </row>
    <row r="57" spans="1:10">
      <c r="A57" s="10"/>
      <c r="B57" s="1" t="str">
        <f>IF(A57="","",MAX(1,MIN(Setup!$B$8,INT((A57-Setup!$B$6)/7)+1)))</f>
        <v/>
      </c>
      <c r="C57" s="11"/>
      <c r="D57" s="11"/>
      <c r="E57" s="11"/>
      <c r="F57" s="15"/>
      <c r="G57" s="16" t="str">
        <f t="shared" si="1"/>
        <v/>
      </c>
      <c r="H57" s="1"/>
      <c r="I57" s="11"/>
      <c r="J57" s="11"/>
    </row>
    <row r="58" spans="1:10">
      <c r="A58" s="10"/>
      <c r="B58" s="1" t="str">
        <f>IF(A58="","",MAX(1,MIN(Setup!$B$8,INT((A58-Setup!$B$6)/7)+1)))</f>
        <v/>
      </c>
      <c r="C58" s="11"/>
      <c r="D58" s="11"/>
      <c r="E58" s="11"/>
      <c r="F58" s="15"/>
      <c r="G58" s="16" t="str">
        <f t="shared" si="1"/>
        <v/>
      </c>
      <c r="H58" s="1"/>
      <c r="I58" s="11"/>
      <c r="J58" s="11"/>
    </row>
    <row r="59" spans="1:10">
      <c r="A59" s="10"/>
      <c r="B59" s="1" t="str">
        <f>IF(A59="","",MAX(1,MIN(Setup!$B$8,INT((A59-Setup!$B$6)/7)+1)))</f>
        <v/>
      </c>
      <c r="C59" s="11"/>
      <c r="D59" s="11"/>
      <c r="E59" s="11"/>
      <c r="F59" s="15"/>
      <c r="G59" s="16" t="str">
        <f t="shared" si="1"/>
        <v/>
      </c>
      <c r="H59" s="1"/>
      <c r="I59" s="11"/>
      <c r="J59" s="11"/>
    </row>
    <row r="60" spans="1:10">
      <c r="A60" s="10"/>
      <c r="B60" s="1" t="str">
        <f>IF(A60="","",MAX(1,MIN(Setup!$B$8,INT((A60-Setup!$B$6)/7)+1)))</f>
        <v/>
      </c>
      <c r="C60" s="11"/>
      <c r="D60" s="11"/>
      <c r="E60" s="11"/>
      <c r="F60" s="15"/>
      <c r="G60" s="16" t="str">
        <f t="shared" si="1"/>
        <v/>
      </c>
      <c r="H60" s="1"/>
      <c r="I60" s="11"/>
      <c r="J60" s="11"/>
    </row>
    <row r="61" spans="1:10">
      <c r="A61" s="10"/>
      <c r="B61" s="1" t="str">
        <f>IF(A61="","",MAX(1,MIN(Setup!$B$8,INT((A61-Setup!$B$6)/7)+1)))</f>
        <v/>
      </c>
      <c r="C61" s="11"/>
      <c r="D61" s="11"/>
      <c r="E61" s="11"/>
      <c r="F61" s="15"/>
      <c r="G61" s="16" t="str">
        <f t="shared" si="1"/>
        <v/>
      </c>
      <c r="H61" s="1"/>
      <c r="I61" s="11"/>
      <c r="J61" s="11"/>
    </row>
    <row r="62" spans="1:10">
      <c r="A62" s="10"/>
      <c r="B62" s="1" t="str">
        <f>IF(A62="","",MAX(1,MIN(Setup!$B$8,INT((A62-Setup!$B$6)/7)+1)))</f>
        <v/>
      </c>
      <c r="C62" s="11"/>
      <c r="D62" s="11"/>
      <c r="E62" s="11"/>
      <c r="F62" s="15"/>
      <c r="G62" s="16" t="str">
        <f t="shared" si="1"/>
        <v/>
      </c>
      <c r="H62" s="1"/>
      <c r="I62" s="11"/>
      <c r="J62" s="11"/>
    </row>
    <row r="63" spans="1:10">
      <c r="A63" s="10"/>
      <c r="B63" s="1" t="str">
        <f>IF(A63="","",MAX(1,MIN(Setup!$B$8,INT((A63-Setup!$B$6)/7)+1)))</f>
        <v/>
      </c>
      <c r="C63" s="11"/>
      <c r="D63" s="11"/>
      <c r="E63" s="11"/>
      <c r="F63" s="15"/>
      <c r="G63" s="16" t="str">
        <f t="shared" si="1"/>
        <v/>
      </c>
      <c r="H63" s="1"/>
      <c r="I63" s="11"/>
      <c r="J63" s="11"/>
    </row>
    <row r="64" spans="1:10">
      <c r="A64" s="10"/>
      <c r="B64" s="1" t="str">
        <f>IF(A64="","",MAX(1,MIN(Setup!$B$8,INT((A64-Setup!$B$6)/7)+1)))</f>
        <v/>
      </c>
      <c r="C64" s="11"/>
      <c r="D64" s="11"/>
      <c r="E64" s="11"/>
      <c r="F64" s="15"/>
      <c r="G64" s="16" t="str">
        <f t="shared" si="1"/>
        <v/>
      </c>
      <c r="H64" s="1"/>
      <c r="I64" s="11"/>
      <c r="J64" s="11"/>
    </row>
    <row r="65" spans="1:10">
      <c r="A65" s="10"/>
      <c r="B65" s="1" t="str">
        <f>IF(A65="","",MAX(1,MIN(Setup!$B$8,INT((A65-Setup!$B$6)/7)+1)))</f>
        <v/>
      </c>
      <c r="C65" s="11"/>
      <c r="D65" s="11"/>
      <c r="E65" s="11"/>
      <c r="F65" s="15"/>
      <c r="G65" s="16" t="str">
        <f t="shared" si="1"/>
        <v/>
      </c>
      <c r="H65" s="1"/>
      <c r="I65" s="11"/>
      <c r="J65" s="11"/>
    </row>
    <row r="66" spans="1:10">
      <c r="A66" s="10"/>
      <c r="B66" s="1" t="str">
        <f>IF(A66="","",MAX(1,MIN(Setup!$B$8,INT((A66-Setup!$B$6)/7)+1)))</f>
        <v/>
      </c>
      <c r="C66" s="11"/>
      <c r="D66" s="11"/>
      <c r="E66" s="11"/>
      <c r="F66" s="15"/>
      <c r="G66" s="16" t="str">
        <f t="shared" si="1"/>
        <v/>
      </c>
      <c r="H66" s="1"/>
      <c r="I66" s="11"/>
      <c r="J66" s="11"/>
    </row>
    <row r="67" spans="1:10">
      <c r="A67" s="10"/>
      <c r="B67" s="1" t="str">
        <f>IF(A67="","",MAX(1,MIN(Setup!$B$8,INT((A67-Setup!$B$6)/7)+1)))</f>
        <v/>
      </c>
      <c r="C67" s="11"/>
      <c r="D67" s="11"/>
      <c r="E67" s="11"/>
      <c r="F67" s="15"/>
      <c r="G67" s="16" t="str">
        <f t="shared" si="1"/>
        <v/>
      </c>
      <c r="H67" s="1"/>
      <c r="I67" s="11"/>
      <c r="J67" s="11"/>
    </row>
    <row r="68" spans="1:10">
      <c r="A68" s="10"/>
      <c r="B68" s="1" t="str">
        <f>IF(A68="","",MAX(1,MIN(Setup!$B$8,INT((A68-Setup!$B$6)/7)+1)))</f>
        <v/>
      </c>
      <c r="C68" s="11"/>
      <c r="D68" s="11"/>
      <c r="E68" s="11"/>
      <c r="F68" s="15"/>
      <c r="G68" s="16" t="str">
        <f t="shared" si="1"/>
        <v/>
      </c>
      <c r="H68" s="1"/>
      <c r="I68" s="11"/>
      <c r="J68" s="11"/>
    </row>
    <row r="69" spans="1:10">
      <c r="A69" s="10"/>
      <c r="B69" s="1" t="str">
        <f>IF(A69="","",MAX(1,MIN(Setup!$B$8,INT((A69-Setup!$B$6)/7)+1)))</f>
        <v/>
      </c>
      <c r="C69" s="11"/>
      <c r="D69" s="11"/>
      <c r="E69" s="11"/>
      <c r="F69" s="15"/>
      <c r="G69" s="16" t="str">
        <f t="shared" ref="G69:G100" si="2">IF(F69="","",F69/60)</f>
        <v/>
      </c>
      <c r="H69" s="1"/>
      <c r="I69" s="11"/>
      <c r="J69" s="11"/>
    </row>
    <row r="70" spans="1:10">
      <c r="A70" s="10"/>
      <c r="B70" s="1" t="str">
        <f>IF(A70="","",MAX(1,MIN(Setup!$B$8,INT((A70-Setup!$B$6)/7)+1)))</f>
        <v/>
      </c>
      <c r="C70" s="11"/>
      <c r="D70" s="11"/>
      <c r="E70" s="11"/>
      <c r="F70" s="15"/>
      <c r="G70" s="16" t="str">
        <f t="shared" si="2"/>
        <v/>
      </c>
      <c r="H70" s="1"/>
      <c r="I70" s="11"/>
      <c r="J70" s="11"/>
    </row>
    <row r="71" spans="1:10">
      <c r="A71" s="10"/>
      <c r="B71" s="1" t="str">
        <f>IF(A71="","",MAX(1,MIN(Setup!$B$8,INT((A71-Setup!$B$6)/7)+1)))</f>
        <v/>
      </c>
      <c r="C71" s="11"/>
      <c r="D71" s="11"/>
      <c r="E71" s="11"/>
      <c r="F71" s="15"/>
      <c r="G71" s="16" t="str">
        <f t="shared" si="2"/>
        <v/>
      </c>
      <c r="H71" s="1"/>
      <c r="I71" s="11"/>
      <c r="J71" s="11"/>
    </row>
    <row r="72" spans="1:10">
      <c r="A72" s="10"/>
      <c r="B72" s="1" t="str">
        <f>IF(A72="","",MAX(1,MIN(Setup!$B$8,INT((A72-Setup!$B$6)/7)+1)))</f>
        <v/>
      </c>
      <c r="C72" s="11"/>
      <c r="D72" s="11"/>
      <c r="E72" s="11"/>
      <c r="F72" s="15"/>
      <c r="G72" s="16" t="str">
        <f t="shared" si="2"/>
        <v/>
      </c>
      <c r="H72" s="1"/>
      <c r="I72" s="11"/>
      <c r="J72" s="11"/>
    </row>
    <row r="73" spans="1:10">
      <c r="A73" s="10"/>
      <c r="B73" s="1" t="str">
        <f>IF(A73="","",MAX(1,MIN(Setup!$B$8,INT((A73-Setup!$B$6)/7)+1)))</f>
        <v/>
      </c>
      <c r="C73" s="11"/>
      <c r="D73" s="11"/>
      <c r="E73" s="11"/>
      <c r="F73" s="15"/>
      <c r="G73" s="16" t="str">
        <f t="shared" si="2"/>
        <v/>
      </c>
      <c r="H73" s="1"/>
      <c r="I73" s="11"/>
      <c r="J73" s="11"/>
    </row>
    <row r="74" spans="1:10">
      <c r="A74" s="10"/>
      <c r="B74" s="1" t="str">
        <f>IF(A74="","",MAX(1,MIN(Setup!$B$8,INT((A74-Setup!$B$6)/7)+1)))</f>
        <v/>
      </c>
      <c r="C74" s="11"/>
      <c r="D74" s="11"/>
      <c r="E74" s="11"/>
      <c r="F74" s="15"/>
      <c r="G74" s="16" t="str">
        <f t="shared" si="2"/>
        <v/>
      </c>
      <c r="H74" s="1"/>
      <c r="I74" s="11"/>
      <c r="J74" s="11"/>
    </row>
    <row r="75" spans="1:10">
      <c r="A75" s="10"/>
      <c r="B75" s="1" t="str">
        <f>IF(A75="","",MAX(1,MIN(Setup!$B$8,INT((A75-Setup!$B$6)/7)+1)))</f>
        <v/>
      </c>
      <c r="C75" s="11"/>
      <c r="D75" s="11"/>
      <c r="E75" s="11"/>
      <c r="F75" s="15"/>
      <c r="G75" s="16" t="str">
        <f t="shared" si="2"/>
        <v/>
      </c>
      <c r="H75" s="1"/>
      <c r="I75" s="11"/>
      <c r="J75" s="11"/>
    </row>
    <row r="76" spans="1:10">
      <c r="A76" s="10"/>
      <c r="B76" s="1" t="str">
        <f>IF(A76="","",MAX(1,MIN(Setup!$B$8,INT((A76-Setup!$B$6)/7)+1)))</f>
        <v/>
      </c>
      <c r="C76" s="11"/>
      <c r="D76" s="11"/>
      <c r="E76" s="11"/>
      <c r="F76" s="15"/>
      <c r="G76" s="16" t="str">
        <f t="shared" si="2"/>
        <v/>
      </c>
      <c r="H76" s="1"/>
      <c r="I76" s="11"/>
      <c r="J76" s="11"/>
    </row>
    <row r="77" spans="1:10">
      <c r="A77" s="10"/>
      <c r="B77" s="1" t="str">
        <f>IF(A77="","",MAX(1,MIN(Setup!$B$8,INT((A77-Setup!$B$6)/7)+1)))</f>
        <v/>
      </c>
      <c r="C77" s="11"/>
      <c r="D77" s="11"/>
      <c r="E77" s="11"/>
      <c r="F77" s="15"/>
      <c r="G77" s="16" t="str">
        <f t="shared" si="2"/>
        <v/>
      </c>
      <c r="H77" s="1"/>
      <c r="I77" s="11"/>
      <c r="J77" s="11"/>
    </row>
    <row r="78" spans="1:10">
      <c r="A78" s="10"/>
      <c r="B78" s="1" t="str">
        <f>IF(A78="","",MAX(1,MIN(Setup!$B$8,INT((A78-Setup!$B$6)/7)+1)))</f>
        <v/>
      </c>
      <c r="C78" s="11"/>
      <c r="D78" s="11"/>
      <c r="E78" s="11"/>
      <c r="F78" s="15"/>
      <c r="G78" s="16" t="str">
        <f t="shared" si="2"/>
        <v/>
      </c>
      <c r="H78" s="1"/>
      <c r="I78" s="11"/>
      <c r="J78" s="11"/>
    </row>
    <row r="79" spans="1:10">
      <c r="A79" s="10"/>
      <c r="B79" s="1" t="str">
        <f>IF(A79="","",MAX(1,MIN(Setup!$B$8,INT((A79-Setup!$B$6)/7)+1)))</f>
        <v/>
      </c>
      <c r="C79" s="11"/>
      <c r="D79" s="11"/>
      <c r="E79" s="11"/>
      <c r="F79" s="15"/>
      <c r="G79" s="16" t="str">
        <f t="shared" si="2"/>
        <v/>
      </c>
      <c r="H79" s="1"/>
      <c r="I79" s="11"/>
      <c r="J79" s="11"/>
    </row>
    <row r="80" spans="1:10">
      <c r="A80" s="10"/>
      <c r="B80" s="1" t="str">
        <f>IF(A80="","",MAX(1,MIN(Setup!$B$8,INT((A80-Setup!$B$6)/7)+1)))</f>
        <v/>
      </c>
      <c r="C80" s="11"/>
      <c r="D80" s="11"/>
      <c r="E80" s="11"/>
      <c r="F80" s="15"/>
      <c r="G80" s="16" t="str">
        <f t="shared" si="2"/>
        <v/>
      </c>
      <c r="H80" s="1"/>
      <c r="I80" s="11"/>
      <c r="J80" s="11"/>
    </row>
    <row r="81" spans="1:10">
      <c r="A81" s="10"/>
      <c r="B81" s="1" t="str">
        <f>IF(A81="","",MAX(1,MIN(Setup!$B$8,INT((A81-Setup!$B$6)/7)+1)))</f>
        <v/>
      </c>
      <c r="C81" s="11"/>
      <c r="D81" s="11"/>
      <c r="E81" s="11"/>
      <c r="F81" s="15"/>
      <c r="G81" s="16" t="str">
        <f t="shared" si="2"/>
        <v/>
      </c>
      <c r="H81" s="1"/>
      <c r="I81" s="11"/>
      <c r="J81" s="11"/>
    </row>
    <row r="82" spans="1:10">
      <c r="A82" s="10"/>
      <c r="B82" s="1" t="str">
        <f>IF(A82="","",MAX(1,MIN(Setup!$B$8,INT((A82-Setup!$B$6)/7)+1)))</f>
        <v/>
      </c>
      <c r="C82" s="11"/>
      <c r="D82" s="11"/>
      <c r="E82" s="11"/>
      <c r="F82" s="15"/>
      <c r="G82" s="16" t="str">
        <f t="shared" si="2"/>
        <v/>
      </c>
      <c r="H82" s="1"/>
      <c r="I82" s="11"/>
      <c r="J82" s="11"/>
    </row>
    <row r="83" spans="1:10">
      <c r="A83" s="10"/>
      <c r="B83" s="1" t="str">
        <f>IF(A83="","",MAX(1,MIN(Setup!$B$8,INT((A83-Setup!$B$6)/7)+1)))</f>
        <v/>
      </c>
      <c r="C83" s="11"/>
      <c r="D83" s="11"/>
      <c r="E83" s="11"/>
      <c r="F83" s="15"/>
      <c r="G83" s="16" t="str">
        <f t="shared" si="2"/>
        <v/>
      </c>
      <c r="H83" s="1"/>
      <c r="I83" s="11"/>
      <c r="J83" s="11"/>
    </row>
    <row r="84" spans="1:10">
      <c r="A84" s="10"/>
      <c r="B84" s="1" t="str">
        <f>IF(A84="","",MAX(1,MIN(Setup!$B$8,INT((A84-Setup!$B$6)/7)+1)))</f>
        <v/>
      </c>
      <c r="C84" s="11"/>
      <c r="D84" s="11"/>
      <c r="E84" s="11"/>
      <c r="F84" s="15"/>
      <c r="G84" s="16" t="str">
        <f t="shared" si="2"/>
        <v/>
      </c>
      <c r="H84" s="1"/>
      <c r="I84" s="11"/>
      <c r="J84" s="11"/>
    </row>
    <row r="85" spans="1:10">
      <c r="A85" s="10"/>
      <c r="B85" s="1" t="str">
        <f>IF(A85="","",MAX(1,MIN(Setup!$B$8,INT((A85-Setup!$B$6)/7)+1)))</f>
        <v/>
      </c>
      <c r="C85" s="11"/>
      <c r="D85" s="11"/>
      <c r="E85" s="11"/>
      <c r="F85" s="15"/>
      <c r="G85" s="16" t="str">
        <f t="shared" si="2"/>
        <v/>
      </c>
      <c r="H85" s="1"/>
      <c r="I85" s="11"/>
      <c r="J85" s="11"/>
    </row>
    <row r="86" spans="1:10">
      <c r="A86" s="10"/>
      <c r="B86" s="1" t="str">
        <f>IF(A86="","",MAX(1,MIN(Setup!$B$8,INT((A86-Setup!$B$6)/7)+1)))</f>
        <v/>
      </c>
      <c r="C86" s="11"/>
      <c r="D86" s="11"/>
      <c r="E86" s="11"/>
      <c r="F86" s="15"/>
      <c r="G86" s="16" t="str">
        <f t="shared" si="2"/>
        <v/>
      </c>
      <c r="H86" s="1"/>
      <c r="I86" s="11"/>
      <c r="J86" s="11"/>
    </row>
    <row r="87" spans="1:10">
      <c r="A87" s="10"/>
      <c r="B87" s="1" t="str">
        <f>IF(A87="","",MAX(1,MIN(Setup!$B$8,INT((A87-Setup!$B$6)/7)+1)))</f>
        <v/>
      </c>
      <c r="C87" s="11"/>
      <c r="D87" s="11"/>
      <c r="E87" s="11"/>
      <c r="F87" s="15"/>
      <c r="G87" s="16" t="str">
        <f t="shared" si="2"/>
        <v/>
      </c>
      <c r="H87" s="1"/>
      <c r="I87" s="11"/>
      <c r="J87" s="11"/>
    </row>
    <row r="88" spans="1:10">
      <c r="A88" s="10"/>
      <c r="B88" s="1" t="str">
        <f>IF(A88="","",MAX(1,MIN(Setup!$B$8,INT((A88-Setup!$B$6)/7)+1)))</f>
        <v/>
      </c>
      <c r="C88" s="11"/>
      <c r="D88" s="11"/>
      <c r="E88" s="11"/>
      <c r="F88" s="15"/>
      <c r="G88" s="16" t="str">
        <f t="shared" si="2"/>
        <v/>
      </c>
      <c r="H88" s="1"/>
      <c r="I88" s="11"/>
      <c r="J88" s="11"/>
    </row>
    <row r="89" spans="1:10">
      <c r="A89" s="10"/>
      <c r="B89" s="1" t="str">
        <f>IF(A89="","",MAX(1,MIN(Setup!$B$8,INT((A89-Setup!$B$6)/7)+1)))</f>
        <v/>
      </c>
      <c r="C89" s="11"/>
      <c r="D89" s="11"/>
      <c r="E89" s="11"/>
      <c r="F89" s="15"/>
      <c r="G89" s="16" t="str">
        <f t="shared" si="2"/>
        <v/>
      </c>
      <c r="H89" s="1"/>
      <c r="I89" s="11"/>
      <c r="J89" s="11"/>
    </row>
    <row r="90" spans="1:10">
      <c r="A90" s="10"/>
      <c r="B90" s="1" t="str">
        <f>IF(A90="","",MAX(1,MIN(Setup!$B$8,INT((A90-Setup!$B$6)/7)+1)))</f>
        <v/>
      </c>
      <c r="C90" s="11"/>
      <c r="D90" s="11"/>
      <c r="E90" s="11"/>
      <c r="F90" s="15"/>
      <c r="G90" s="16" t="str">
        <f t="shared" si="2"/>
        <v/>
      </c>
      <c r="H90" s="1"/>
      <c r="I90" s="11"/>
      <c r="J90" s="11"/>
    </row>
    <row r="91" spans="1:10">
      <c r="A91" s="10"/>
      <c r="B91" s="1" t="str">
        <f>IF(A91="","",MAX(1,MIN(Setup!$B$8,INT((A91-Setup!$B$6)/7)+1)))</f>
        <v/>
      </c>
      <c r="C91" s="11"/>
      <c r="D91" s="11"/>
      <c r="E91" s="11"/>
      <c r="F91" s="15"/>
      <c r="G91" s="16" t="str">
        <f t="shared" si="2"/>
        <v/>
      </c>
      <c r="H91" s="1"/>
      <c r="I91" s="11"/>
      <c r="J91" s="11"/>
    </row>
    <row r="92" spans="1:10">
      <c r="A92" s="10"/>
      <c r="B92" s="1" t="str">
        <f>IF(A92="","",MAX(1,MIN(Setup!$B$8,INT((A92-Setup!$B$6)/7)+1)))</f>
        <v/>
      </c>
      <c r="C92" s="11"/>
      <c r="D92" s="11"/>
      <c r="E92" s="11"/>
      <c r="F92" s="15"/>
      <c r="G92" s="16" t="str">
        <f t="shared" si="2"/>
        <v/>
      </c>
      <c r="H92" s="1"/>
      <c r="I92" s="11"/>
      <c r="J92" s="11"/>
    </row>
    <row r="93" spans="1:10">
      <c r="A93" s="10"/>
      <c r="B93" s="1" t="str">
        <f>IF(A93="","",MAX(1,MIN(Setup!$B$8,INT((A93-Setup!$B$6)/7)+1)))</f>
        <v/>
      </c>
      <c r="C93" s="11"/>
      <c r="D93" s="11"/>
      <c r="E93" s="11"/>
      <c r="F93" s="15"/>
      <c r="G93" s="16" t="str">
        <f t="shared" si="2"/>
        <v/>
      </c>
      <c r="H93" s="1"/>
      <c r="I93" s="11"/>
      <c r="J93" s="11"/>
    </row>
    <row r="94" spans="1:10">
      <c r="A94" s="10"/>
      <c r="B94" s="1" t="str">
        <f>IF(A94="","",MAX(1,MIN(Setup!$B$8,INT((A94-Setup!$B$6)/7)+1)))</f>
        <v/>
      </c>
      <c r="C94" s="11"/>
      <c r="D94" s="11"/>
      <c r="E94" s="11"/>
      <c r="F94" s="15"/>
      <c r="G94" s="16" t="str">
        <f t="shared" si="2"/>
        <v/>
      </c>
      <c r="H94" s="1"/>
      <c r="I94" s="11"/>
      <c r="J94" s="11"/>
    </row>
    <row r="95" spans="1:10">
      <c r="A95" s="10"/>
      <c r="B95" s="1" t="str">
        <f>IF(A95="","",MAX(1,MIN(Setup!$B$8,INT((A95-Setup!$B$6)/7)+1)))</f>
        <v/>
      </c>
      <c r="C95" s="11"/>
      <c r="D95" s="11"/>
      <c r="E95" s="11"/>
      <c r="F95" s="15"/>
      <c r="G95" s="16" t="str">
        <f t="shared" si="2"/>
        <v/>
      </c>
      <c r="H95" s="1"/>
      <c r="I95" s="11"/>
      <c r="J95" s="11"/>
    </row>
    <row r="96" spans="1:10">
      <c r="A96" s="10"/>
      <c r="B96" s="1" t="str">
        <f>IF(A96="","",MAX(1,MIN(Setup!$B$8,INT((A96-Setup!$B$6)/7)+1)))</f>
        <v/>
      </c>
      <c r="C96" s="11"/>
      <c r="D96" s="11"/>
      <c r="E96" s="11"/>
      <c r="F96" s="15"/>
      <c r="G96" s="16" t="str">
        <f t="shared" si="2"/>
        <v/>
      </c>
      <c r="H96" s="1"/>
      <c r="I96" s="11"/>
      <c r="J96" s="11"/>
    </row>
    <row r="97" spans="1:10">
      <c r="A97" s="10"/>
      <c r="B97" s="1" t="str">
        <f>IF(A97="","",MAX(1,MIN(Setup!$B$8,INT((A97-Setup!$B$6)/7)+1)))</f>
        <v/>
      </c>
      <c r="C97" s="11"/>
      <c r="D97" s="11"/>
      <c r="E97" s="11"/>
      <c r="F97" s="15"/>
      <c r="G97" s="16" t="str">
        <f t="shared" si="2"/>
        <v/>
      </c>
      <c r="H97" s="1"/>
      <c r="I97" s="11"/>
      <c r="J97" s="11"/>
    </row>
    <row r="98" spans="1:10">
      <c r="A98" s="10"/>
      <c r="B98" s="1" t="str">
        <f>IF(A98="","",MAX(1,MIN(Setup!$B$8,INT((A98-Setup!$B$6)/7)+1)))</f>
        <v/>
      </c>
      <c r="C98" s="11"/>
      <c r="D98" s="11"/>
      <c r="E98" s="11"/>
      <c r="F98" s="15"/>
      <c r="G98" s="16" t="str">
        <f t="shared" si="2"/>
        <v/>
      </c>
      <c r="H98" s="1"/>
      <c r="I98" s="11"/>
      <c r="J98" s="11"/>
    </row>
    <row r="99" spans="1:10">
      <c r="A99" s="10"/>
      <c r="B99" s="1" t="str">
        <f>IF(A99="","",MAX(1,MIN(Setup!$B$8,INT((A99-Setup!$B$6)/7)+1)))</f>
        <v/>
      </c>
      <c r="C99" s="11"/>
      <c r="D99" s="11"/>
      <c r="E99" s="11"/>
      <c r="F99" s="15"/>
      <c r="G99" s="16" t="str">
        <f t="shared" si="2"/>
        <v/>
      </c>
      <c r="H99" s="1"/>
      <c r="I99" s="11"/>
      <c r="J99" s="11"/>
    </row>
    <row r="100" spans="1:10">
      <c r="A100" s="10"/>
      <c r="B100" s="1" t="str">
        <f>IF(A100="","",MAX(1,MIN(Setup!$B$8,INT((A100-Setup!$B$6)/7)+1)))</f>
        <v/>
      </c>
      <c r="C100" s="11"/>
      <c r="D100" s="11"/>
      <c r="E100" s="11"/>
      <c r="F100" s="15"/>
      <c r="G100" s="16" t="str">
        <f t="shared" si="2"/>
        <v/>
      </c>
      <c r="H100" s="1"/>
      <c r="I100" s="11"/>
      <c r="J100" s="11"/>
    </row>
    <row r="101" spans="1:10">
      <c r="A101" s="10"/>
      <c r="B101" s="1" t="str">
        <f>IF(A101="","",MAX(1,MIN(Setup!$B$8,INT((A101-Setup!$B$6)/7)+1)))</f>
        <v/>
      </c>
      <c r="C101" s="11"/>
      <c r="D101" s="11"/>
      <c r="E101" s="11"/>
      <c r="F101" s="15"/>
      <c r="G101" s="16" t="str">
        <f t="shared" ref="G101:G132" si="3">IF(F101="","",F101/60)</f>
        <v/>
      </c>
      <c r="H101" s="1"/>
      <c r="I101" s="11"/>
      <c r="J101" s="11"/>
    </row>
    <row r="102" spans="1:10">
      <c r="A102" s="10"/>
      <c r="B102" s="1" t="str">
        <f>IF(A102="","",MAX(1,MIN(Setup!$B$8,INT((A102-Setup!$B$6)/7)+1)))</f>
        <v/>
      </c>
      <c r="C102" s="11"/>
      <c r="D102" s="11"/>
      <c r="E102" s="11"/>
      <c r="F102" s="15"/>
      <c r="G102" s="16" t="str">
        <f t="shared" si="3"/>
        <v/>
      </c>
      <c r="H102" s="1"/>
      <c r="I102" s="11"/>
      <c r="J102" s="11"/>
    </row>
    <row r="103" spans="1:10">
      <c r="A103" s="10"/>
      <c r="B103" s="1" t="str">
        <f>IF(A103="","",MAX(1,MIN(Setup!$B$8,INT((A103-Setup!$B$6)/7)+1)))</f>
        <v/>
      </c>
      <c r="C103" s="11"/>
      <c r="D103" s="11"/>
      <c r="E103" s="11"/>
      <c r="F103" s="15"/>
      <c r="G103" s="16" t="str">
        <f t="shared" si="3"/>
        <v/>
      </c>
      <c r="H103" s="1"/>
      <c r="I103" s="11"/>
      <c r="J103" s="11"/>
    </row>
    <row r="104" spans="1:10">
      <c r="A104" s="10"/>
      <c r="B104" s="1" t="str">
        <f>IF(A104="","",MAX(1,MIN(Setup!$B$8,INT((A104-Setup!$B$6)/7)+1)))</f>
        <v/>
      </c>
      <c r="C104" s="11"/>
      <c r="D104" s="11"/>
      <c r="E104" s="11"/>
      <c r="F104" s="15"/>
      <c r="G104" s="16" t="str">
        <f t="shared" si="3"/>
        <v/>
      </c>
      <c r="H104" s="1"/>
      <c r="I104" s="11"/>
      <c r="J104" s="11"/>
    </row>
    <row r="105" spans="1:10">
      <c r="A105" s="10"/>
      <c r="B105" s="1" t="str">
        <f>IF(A105="","",MAX(1,MIN(Setup!$B$8,INT((A105-Setup!$B$6)/7)+1)))</f>
        <v/>
      </c>
      <c r="C105" s="11"/>
      <c r="D105" s="11"/>
      <c r="E105" s="11"/>
      <c r="F105" s="15"/>
      <c r="G105" s="16" t="str">
        <f t="shared" si="3"/>
        <v/>
      </c>
      <c r="H105" s="1"/>
      <c r="I105" s="11"/>
      <c r="J105" s="11"/>
    </row>
    <row r="106" spans="1:10">
      <c r="A106" s="10"/>
      <c r="B106" s="1" t="str">
        <f>IF(A106="","",MAX(1,MIN(Setup!$B$8,INT((A106-Setup!$B$6)/7)+1)))</f>
        <v/>
      </c>
      <c r="C106" s="11"/>
      <c r="D106" s="11"/>
      <c r="E106" s="11"/>
      <c r="F106" s="15"/>
      <c r="G106" s="16" t="str">
        <f t="shared" si="3"/>
        <v/>
      </c>
      <c r="H106" s="1"/>
      <c r="I106" s="11"/>
      <c r="J106" s="11"/>
    </row>
    <row r="107" spans="1:10">
      <c r="A107" s="10"/>
      <c r="B107" s="1" t="str">
        <f>IF(A107="","",MAX(1,MIN(Setup!$B$8,INT((A107-Setup!$B$6)/7)+1)))</f>
        <v/>
      </c>
      <c r="C107" s="11"/>
      <c r="D107" s="11"/>
      <c r="E107" s="11"/>
      <c r="F107" s="15"/>
      <c r="G107" s="16" t="str">
        <f t="shared" si="3"/>
        <v/>
      </c>
      <c r="H107" s="1"/>
      <c r="I107" s="11"/>
      <c r="J107" s="11"/>
    </row>
    <row r="108" spans="1:10">
      <c r="A108" s="10"/>
      <c r="B108" s="1" t="str">
        <f>IF(A108="","",MAX(1,MIN(Setup!$B$8,INT((A108-Setup!$B$6)/7)+1)))</f>
        <v/>
      </c>
      <c r="C108" s="11"/>
      <c r="D108" s="11"/>
      <c r="E108" s="11"/>
      <c r="F108" s="15"/>
      <c r="G108" s="16" t="str">
        <f t="shared" si="3"/>
        <v/>
      </c>
      <c r="H108" s="1"/>
      <c r="I108" s="11"/>
      <c r="J108" s="11"/>
    </row>
    <row r="109" spans="1:10">
      <c r="A109" s="10"/>
      <c r="B109" s="1" t="str">
        <f>IF(A109="","",MAX(1,MIN(Setup!$B$8,INT((A109-Setup!$B$6)/7)+1)))</f>
        <v/>
      </c>
      <c r="C109" s="11"/>
      <c r="D109" s="11"/>
      <c r="E109" s="11"/>
      <c r="F109" s="15"/>
      <c r="G109" s="16" t="str">
        <f t="shared" si="3"/>
        <v/>
      </c>
      <c r="H109" s="1"/>
      <c r="I109" s="11"/>
      <c r="J109" s="11"/>
    </row>
    <row r="110" spans="1:10">
      <c r="A110" s="10"/>
      <c r="B110" s="1" t="str">
        <f>IF(A110="","",MAX(1,MIN(Setup!$B$8,INT((A110-Setup!$B$6)/7)+1)))</f>
        <v/>
      </c>
      <c r="C110" s="11"/>
      <c r="D110" s="11"/>
      <c r="E110" s="11"/>
      <c r="F110" s="15"/>
      <c r="G110" s="16" t="str">
        <f t="shared" si="3"/>
        <v/>
      </c>
      <c r="H110" s="1"/>
      <c r="I110" s="11"/>
      <c r="J110" s="11"/>
    </row>
    <row r="111" spans="1:10">
      <c r="A111" s="10"/>
      <c r="B111" s="1" t="str">
        <f>IF(A111="","",MAX(1,MIN(Setup!$B$8,INT((A111-Setup!$B$6)/7)+1)))</f>
        <v/>
      </c>
      <c r="C111" s="11"/>
      <c r="D111" s="11"/>
      <c r="E111" s="11"/>
      <c r="F111" s="15"/>
      <c r="G111" s="16" t="str">
        <f t="shared" si="3"/>
        <v/>
      </c>
      <c r="H111" s="1"/>
      <c r="I111" s="11"/>
      <c r="J111" s="11"/>
    </row>
    <row r="112" spans="1:10">
      <c r="A112" s="10"/>
      <c r="B112" s="1" t="str">
        <f>IF(A112="","",MAX(1,MIN(Setup!$B$8,INT((A112-Setup!$B$6)/7)+1)))</f>
        <v/>
      </c>
      <c r="C112" s="11"/>
      <c r="D112" s="11"/>
      <c r="E112" s="11"/>
      <c r="F112" s="15"/>
      <c r="G112" s="16" t="str">
        <f t="shared" si="3"/>
        <v/>
      </c>
      <c r="H112" s="1"/>
      <c r="I112" s="11"/>
      <c r="J112" s="11"/>
    </row>
    <row r="113" spans="1:10">
      <c r="A113" s="10"/>
      <c r="B113" s="1" t="str">
        <f>IF(A113="","",MAX(1,MIN(Setup!$B$8,INT((A113-Setup!$B$6)/7)+1)))</f>
        <v/>
      </c>
      <c r="C113" s="11"/>
      <c r="D113" s="11"/>
      <c r="E113" s="11"/>
      <c r="F113" s="15"/>
      <c r="G113" s="16" t="str">
        <f t="shared" si="3"/>
        <v/>
      </c>
      <c r="H113" s="1"/>
      <c r="I113" s="11"/>
      <c r="J113" s="11"/>
    </row>
    <row r="114" spans="1:10">
      <c r="A114" s="10"/>
      <c r="B114" s="1" t="str">
        <f>IF(A114="","",MAX(1,MIN(Setup!$B$8,INT((A114-Setup!$B$6)/7)+1)))</f>
        <v/>
      </c>
      <c r="C114" s="11"/>
      <c r="D114" s="11"/>
      <c r="E114" s="11"/>
      <c r="F114" s="15"/>
      <c r="G114" s="16" t="str">
        <f t="shared" si="3"/>
        <v/>
      </c>
      <c r="H114" s="1"/>
      <c r="I114" s="11"/>
      <c r="J114" s="11"/>
    </row>
    <row r="115" spans="1:10">
      <c r="A115" s="10"/>
      <c r="B115" s="1" t="str">
        <f>IF(A115="","",MAX(1,MIN(Setup!$B$8,INT((A115-Setup!$B$6)/7)+1)))</f>
        <v/>
      </c>
      <c r="C115" s="11"/>
      <c r="D115" s="11"/>
      <c r="E115" s="11"/>
      <c r="F115" s="15"/>
      <c r="G115" s="16" t="str">
        <f t="shared" si="3"/>
        <v/>
      </c>
      <c r="H115" s="1"/>
      <c r="I115" s="11"/>
      <c r="J115" s="11"/>
    </row>
    <row r="116" spans="1:10">
      <c r="A116" s="10"/>
      <c r="B116" s="1" t="str">
        <f>IF(A116="","",MAX(1,MIN(Setup!$B$8,INT((A116-Setup!$B$6)/7)+1)))</f>
        <v/>
      </c>
      <c r="C116" s="11"/>
      <c r="D116" s="11"/>
      <c r="E116" s="11"/>
      <c r="F116" s="15"/>
      <c r="G116" s="16" t="str">
        <f t="shared" si="3"/>
        <v/>
      </c>
      <c r="H116" s="1"/>
      <c r="I116" s="11"/>
      <c r="J116" s="11"/>
    </row>
    <row r="117" spans="1:10">
      <c r="A117" s="10"/>
      <c r="B117" s="1" t="str">
        <f>IF(A117="","",MAX(1,MIN(Setup!$B$8,INT((A117-Setup!$B$6)/7)+1)))</f>
        <v/>
      </c>
      <c r="C117" s="11"/>
      <c r="D117" s="11"/>
      <c r="E117" s="11"/>
      <c r="F117" s="15"/>
      <c r="G117" s="16" t="str">
        <f t="shared" si="3"/>
        <v/>
      </c>
      <c r="H117" s="1"/>
      <c r="I117" s="11"/>
      <c r="J117" s="11"/>
    </row>
    <row r="118" spans="1:10">
      <c r="A118" s="10"/>
      <c r="B118" s="1" t="str">
        <f>IF(A118="","",MAX(1,MIN(Setup!$B$8,INT((A118-Setup!$B$6)/7)+1)))</f>
        <v/>
      </c>
      <c r="C118" s="11"/>
      <c r="D118" s="11"/>
      <c r="E118" s="11"/>
      <c r="F118" s="15"/>
      <c r="G118" s="16" t="str">
        <f t="shared" si="3"/>
        <v/>
      </c>
      <c r="H118" s="1"/>
      <c r="I118" s="11"/>
      <c r="J118" s="11"/>
    </row>
    <row r="119" spans="1:10">
      <c r="A119" s="10"/>
      <c r="B119" s="1" t="str">
        <f>IF(A119="","",MAX(1,MIN(Setup!$B$8,INT((A119-Setup!$B$6)/7)+1)))</f>
        <v/>
      </c>
      <c r="C119" s="11"/>
      <c r="D119" s="11"/>
      <c r="E119" s="11"/>
      <c r="F119" s="15"/>
      <c r="G119" s="16" t="str">
        <f t="shared" si="3"/>
        <v/>
      </c>
      <c r="H119" s="1"/>
      <c r="I119" s="11"/>
      <c r="J119" s="11"/>
    </row>
    <row r="120" spans="1:10">
      <c r="A120" s="10"/>
      <c r="B120" s="1" t="str">
        <f>IF(A120="","",MAX(1,MIN(Setup!$B$8,INT((A120-Setup!$B$6)/7)+1)))</f>
        <v/>
      </c>
      <c r="C120" s="11"/>
      <c r="D120" s="11"/>
      <c r="E120" s="11"/>
      <c r="F120" s="15"/>
      <c r="G120" s="16" t="str">
        <f t="shared" si="3"/>
        <v/>
      </c>
      <c r="H120" s="1"/>
      <c r="I120" s="11"/>
      <c r="J120" s="11"/>
    </row>
    <row r="121" spans="1:10">
      <c r="A121" s="10"/>
      <c r="B121" s="1" t="str">
        <f>IF(A121="","",MAX(1,MIN(Setup!$B$8,INT((A121-Setup!$B$6)/7)+1)))</f>
        <v/>
      </c>
      <c r="C121" s="11"/>
      <c r="D121" s="11"/>
      <c r="E121" s="11"/>
      <c r="F121" s="15"/>
      <c r="G121" s="16" t="str">
        <f t="shared" si="3"/>
        <v/>
      </c>
      <c r="H121" s="1"/>
      <c r="I121" s="11"/>
      <c r="J121" s="11"/>
    </row>
    <row r="122" spans="1:10">
      <c r="A122" s="10"/>
      <c r="B122" s="1" t="str">
        <f>IF(A122="","",MAX(1,MIN(Setup!$B$8,INT((A122-Setup!$B$6)/7)+1)))</f>
        <v/>
      </c>
      <c r="C122" s="11"/>
      <c r="D122" s="11"/>
      <c r="E122" s="11"/>
      <c r="F122" s="15"/>
      <c r="G122" s="16" t="str">
        <f t="shared" si="3"/>
        <v/>
      </c>
      <c r="H122" s="1"/>
      <c r="I122" s="11"/>
      <c r="J122" s="11"/>
    </row>
    <row r="123" spans="1:10">
      <c r="A123" s="10"/>
      <c r="B123" s="1" t="str">
        <f>IF(A123="","",MAX(1,MIN(Setup!$B$8,INT((A123-Setup!$B$6)/7)+1)))</f>
        <v/>
      </c>
      <c r="C123" s="11"/>
      <c r="D123" s="11"/>
      <c r="E123" s="11"/>
      <c r="F123" s="15"/>
      <c r="G123" s="16" t="str">
        <f t="shared" si="3"/>
        <v/>
      </c>
      <c r="H123" s="1"/>
      <c r="I123" s="11"/>
      <c r="J123" s="11"/>
    </row>
    <row r="124" spans="1:10">
      <c r="A124" s="10"/>
      <c r="B124" s="1" t="str">
        <f>IF(A124="","",MAX(1,MIN(Setup!$B$8,INT((A124-Setup!$B$6)/7)+1)))</f>
        <v/>
      </c>
      <c r="C124" s="11"/>
      <c r="D124" s="11"/>
      <c r="E124" s="11"/>
      <c r="F124" s="15"/>
      <c r="G124" s="16" t="str">
        <f t="shared" si="3"/>
        <v/>
      </c>
      <c r="H124" s="1"/>
      <c r="I124" s="11"/>
      <c r="J124" s="11"/>
    </row>
    <row r="125" spans="1:10">
      <c r="A125" s="10"/>
      <c r="B125" s="1" t="str">
        <f>IF(A125="","",MAX(1,MIN(Setup!$B$8,INT((A125-Setup!$B$6)/7)+1)))</f>
        <v/>
      </c>
      <c r="C125" s="11"/>
      <c r="D125" s="11"/>
      <c r="E125" s="11"/>
      <c r="F125" s="15"/>
      <c r="G125" s="16" t="str">
        <f t="shared" si="3"/>
        <v/>
      </c>
      <c r="H125" s="1"/>
      <c r="I125" s="11"/>
      <c r="J125" s="11"/>
    </row>
    <row r="126" spans="1:10">
      <c r="A126" s="10"/>
      <c r="B126" s="1" t="str">
        <f>IF(A126="","",MAX(1,MIN(Setup!$B$8,INT((A126-Setup!$B$6)/7)+1)))</f>
        <v/>
      </c>
      <c r="C126" s="11"/>
      <c r="D126" s="11"/>
      <c r="E126" s="11"/>
      <c r="F126" s="15"/>
      <c r="G126" s="16" t="str">
        <f t="shared" si="3"/>
        <v/>
      </c>
      <c r="H126" s="1"/>
      <c r="I126" s="11"/>
      <c r="J126" s="11"/>
    </row>
    <row r="127" spans="1:10">
      <c r="A127" s="10"/>
      <c r="B127" s="1" t="str">
        <f>IF(A127="","",MAX(1,MIN(Setup!$B$8,INT((A127-Setup!$B$6)/7)+1)))</f>
        <v/>
      </c>
      <c r="C127" s="11"/>
      <c r="D127" s="11"/>
      <c r="E127" s="11"/>
      <c r="F127" s="15"/>
      <c r="G127" s="16" t="str">
        <f t="shared" si="3"/>
        <v/>
      </c>
      <c r="H127" s="1"/>
      <c r="I127" s="11"/>
      <c r="J127" s="11"/>
    </row>
    <row r="128" spans="1:10">
      <c r="A128" s="10"/>
      <c r="B128" s="1" t="str">
        <f>IF(A128="","",MAX(1,MIN(Setup!$B$8,INT((A128-Setup!$B$6)/7)+1)))</f>
        <v/>
      </c>
      <c r="C128" s="11"/>
      <c r="D128" s="11"/>
      <c r="E128" s="11"/>
      <c r="F128" s="15"/>
      <c r="G128" s="16" t="str">
        <f t="shared" si="3"/>
        <v/>
      </c>
      <c r="H128" s="1"/>
      <c r="I128" s="11"/>
      <c r="J128" s="11"/>
    </row>
    <row r="129" spans="1:10">
      <c r="A129" s="10"/>
      <c r="B129" s="1" t="str">
        <f>IF(A129="","",MAX(1,MIN(Setup!$B$8,INT((A129-Setup!$B$6)/7)+1)))</f>
        <v/>
      </c>
      <c r="C129" s="11"/>
      <c r="D129" s="11"/>
      <c r="E129" s="11"/>
      <c r="F129" s="15"/>
      <c r="G129" s="16" t="str">
        <f t="shared" si="3"/>
        <v/>
      </c>
      <c r="H129" s="1"/>
      <c r="I129" s="11"/>
      <c r="J129" s="11"/>
    </row>
    <row r="130" spans="1:10">
      <c r="A130" s="10"/>
      <c r="B130" s="1" t="str">
        <f>IF(A130="","",MAX(1,MIN(Setup!$B$8,INT((A130-Setup!$B$6)/7)+1)))</f>
        <v/>
      </c>
      <c r="C130" s="11"/>
      <c r="D130" s="11"/>
      <c r="E130" s="11"/>
      <c r="F130" s="15"/>
      <c r="G130" s="16" t="str">
        <f t="shared" si="3"/>
        <v/>
      </c>
      <c r="H130" s="1"/>
      <c r="I130" s="11"/>
      <c r="J130" s="11"/>
    </row>
    <row r="131" spans="1:10">
      <c r="A131" s="10"/>
      <c r="B131" s="1" t="str">
        <f>IF(A131="","",MAX(1,MIN(Setup!$B$8,INT((A131-Setup!$B$6)/7)+1)))</f>
        <v/>
      </c>
      <c r="C131" s="11"/>
      <c r="D131" s="11"/>
      <c r="E131" s="11"/>
      <c r="F131" s="15"/>
      <c r="G131" s="16" t="str">
        <f t="shared" si="3"/>
        <v/>
      </c>
      <c r="H131" s="1"/>
      <c r="I131" s="11"/>
      <c r="J131" s="11"/>
    </row>
    <row r="132" spans="1:10">
      <c r="A132" s="10"/>
      <c r="B132" s="1" t="str">
        <f>IF(A132="","",MAX(1,MIN(Setup!$B$8,INT((A132-Setup!$B$6)/7)+1)))</f>
        <v/>
      </c>
      <c r="C132" s="11"/>
      <c r="D132" s="11"/>
      <c r="E132" s="11"/>
      <c r="F132" s="15"/>
      <c r="G132" s="16" t="str">
        <f t="shared" si="3"/>
        <v/>
      </c>
      <c r="H132" s="1"/>
      <c r="I132" s="11"/>
      <c r="J132" s="11"/>
    </row>
    <row r="133" spans="1:10">
      <c r="A133" s="10"/>
      <c r="B133" s="1" t="str">
        <f>IF(A133="","",MAX(1,MIN(Setup!$B$8,INT((A133-Setup!$B$6)/7)+1)))</f>
        <v/>
      </c>
      <c r="C133" s="11"/>
      <c r="D133" s="11"/>
      <c r="E133" s="11"/>
      <c r="F133" s="15"/>
      <c r="G133" s="16" t="str">
        <f t="shared" ref="G133:G164" si="4">IF(F133="","",F133/60)</f>
        <v/>
      </c>
      <c r="H133" s="1"/>
      <c r="I133" s="11"/>
      <c r="J133" s="11"/>
    </row>
    <row r="134" spans="1:10">
      <c r="A134" s="10"/>
      <c r="B134" s="1" t="str">
        <f>IF(A134="","",MAX(1,MIN(Setup!$B$8,INT((A134-Setup!$B$6)/7)+1)))</f>
        <v/>
      </c>
      <c r="C134" s="11"/>
      <c r="D134" s="11"/>
      <c r="E134" s="11"/>
      <c r="F134" s="15"/>
      <c r="G134" s="16" t="str">
        <f t="shared" si="4"/>
        <v/>
      </c>
      <c r="H134" s="1"/>
      <c r="I134" s="11"/>
      <c r="J134" s="11"/>
    </row>
    <row r="135" spans="1:10">
      <c r="A135" s="10"/>
      <c r="B135" s="1" t="str">
        <f>IF(A135="","",MAX(1,MIN(Setup!$B$8,INT((A135-Setup!$B$6)/7)+1)))</f>
        <v/>
      </c>
      <c r="C135" s="11"/>
      <c r="D135" s="11"/>
      <c r="E135" s="11"/>
      <c r="F135" s="15"/>
      <c r="G135" s="16" t="str">
        <f t="shared" si="4"/>
        <v/>
      </c>
      <c r="H135" s="1"/>
      <c r="I135" s="11"/>
      <c r="J135" s="11"/>
    </row>
    <row r="136" spans="1:10">
      <c r="A136" s="10"/>
      <c r="B136" s="1" t="str">
        <f>IF(A136="","",MAX(1,MIN(Setup!$B$8,INT((A136-Setup!$B$6)/7)+1)))</f>
        <v/>
      </c>
      <c r="C136" s="11"/>
      <c r="D136" s="11"/>
      <c r="E136" s="11"/>
      <c r="F136" s="15"/>
      <c r="G136" s="16" t="str">
        <f t="shared" si="4"/>
        <v/>
      </c>
      <c r="H136" s="1"/>
      <c r="I136" s="11"/>
      <c r="J136" s="11"/>
    </row>
    <row r="137" spans="1:10">
      <c r="A137" s="10"/>
      <c r="B137" s="1" t="str">
        <f>IF(A137="","",MAX(1,MIN(Setup!$B$8,INT((A137-Setup!$B$6)/7)+1)))</f>
        <v/>
      </c>
      <c r="C137" s="11"/>
      <c r="D137" s="11"/>
      <c r="E137" s="11"/>
      <c r="F137" s="15"/>
      <c r="G137" s="16" t="str">
        <f t="shared" si="4"/>
        <v/>
      </c>
      <c r="H137" s="1"/>
      <c r="I137" s="11"/>
      <c r="J137" s="11"/>
    </row>
    <row r="138" spans="1:10">
      <c r="A138" s="10"/>
      <c r="B138" s="1" t="str">
        <f>IF(A138="","",MAX(1,MIN(Setup!$B$8,INT((A138-Setup!$B$6)/7)+1)))</f>
        <v/>
      </c>
      <c r="C138" s="11"/>
      <c r="D138" s="11"/>
      <c r="E138" s="11"/>
      <c r="F138" s="15"/>
      <c r="G138" s="16" t="str">
        <f t="shared" si="4"/>
        <v/>
      </c>
      <c r="H138" s="1"/>
      <c r="I138" s="11"/>
      <c r="J138" s="11"/>
    </row>
    <row r="139" spans="1:10">
      <c r="A139" s="10"/>
      <c r="B139" s="1" t="str">
        <f>IF(A139="","",MAX(1,MIN(Setup!$B$8,INT((A139-Setup!$B$6)/7)+1)))</f>
        <v/>
      </c>
      <c r="C139" s="11"/>
      <c r="D139" s="11"/>
      <c r="E139" s="11"/>
      <c r="F139" s="15"/>
      <c r="G139" s="16" t="str">
        <f t="shared" si="4"/>
        <v/>
      </c>
      <c r="H139" s="1"/>
      <c r="I139" s="11"/>
      <c r="J139" s="11"/>
    </row>
    <row r="140" spans="1:10">
      <c r="A140" s="10"/>
      <c r="B140" s="1" t="str">
        <f>IF(A140="","",MAX(1,MIN(Setup!$B$8,INT((A140-Setup!$B$6)/7)+1)))</f>
        <v/>
      </c>
      <c r="C140" s="11"/>
      <c r="D140" s="11"/>
      <c r="E140" s="11"/>
      <c r="F140" s="15"/>
      <c r="G140" s="16" t="str">
        <f t="shared" si="4"/>
        <v/>
      </c>
      <c r="H140" s="1"/>
      <c r="I140" s="11"/>
      <c r="J140" s="11"/>
    </row>
    <row r="141" spans="1:10">
      <c r="A141" s="10"/>
      <c r="B141" s="1" t="str">
        <f>IF(A141="","",MAX(1,MIN(Setup!$B$8,INT((A141-Setup!$B$6)/7)+1)))</f>
        <v/>
      </c>
      <c r="C141" s="11"/>
      <c r="D141" s="11"/>
      <c r="E141" s="11"/>
      <c r="F141" s="15"/>
      <c r="G141" s="16" t="str">
        <f t="shared" si="4"/>
        <v/>
      </c>
      <c r="H141" s="1"/>
      <c r="I141" s="11"/>
      <c r="J141" s="11"/>
    </row>
    <row r="142" spans="1:10">
      <c r="A142" s="10"/>
      <c r="B142" s="1" t="str">
        <f>IF(A142="","",MAX(1,MIN(Setup!$B$8,INT((A142-Setup!$B$6)/7)+1)))</f>
        <v/>
      </c>
      <c r="C142" s="11"/>
      <c r="D142" s="11"/>
      <c r="E142" s="11"/>
      <c r="F142" s="15"/>
      <c r="G142" s="16" t="str">
        <f t="shared" si="4"/>
        <v/>
      </c>
      <c r="H142" s="1"/>
      <c r="I142" s="11"/>
      <c r="J142" s="11"/>
    </row>
    <row r="143" spans="1:10">
      <c r="A143" s="10"/>
      <c r="B143" s="1" t="str">
        <f>IF(A143="","",MAX(1,MIN(Setup!$B$8,INT((A143-Setup!$B$6)/7)+1)))</f>
        <v/>
      </c>
      <c r="C143" s="11"/>
      <c r="D143" s="11"/>
      <c r="E143" s="11"/>
      <c r="F143" s="15"/>
      <c r="G143" s="16" t="str">
        <f t="shared" si="4"/>
        <v/>
      </c>
      <c r="H143" s="1"/>
      <c r="I143" s="11"/>
      <c r="J143" s="11"/>
    </row>
    <row r="144" spans="1:10">
      <c r="A144" s="10"/>
      <c r="B144" s="1" t="str">
        <f>IF(A144="","",MAX(1,MIN(Setup!$B$8,INT((A144-Setup!$B$6)/7)+1)))</f>
        <v/>
      </c>
      <c r="C144" s="11"/>
      <c r="D144" s="11"/>
      <c r="E144" s="11"/>
      <c r="F144" s="15"/>
      <c r="G144" s="16" t="str">
        <f t="shared" si="4"/>
        <v/>
      </c>
      <c r="H144" s="1"/>
      <c r="I144" s="11"/>
      <c r="J144" s="11"/>
    </row>
    <row r="145" spans="1:10">
      <c r="A145" s="10"/>
      <c r="B145" s="1" t="str">
        <f>IF(A145="","",MAX(1,MIN(Setup!$B$8,INT((A145-Setup!$B$6)/7)+1)))</f>
        <v/>
      </c>
      <c r="C145" s="11"/>
      <c r="D145" s="11"/>
      <c r="E145" s="11"/>
      <c r="F145" s="15"/>
      <c r="G145" s="16" t="str">
        <f t="shared" si="4"/>
        <v/>
      </c>
      <c r="H145" s="1"/>
      <c r="I145" s="11"/>
      <c r="J145" s="11"/>
    </row>
    <row r="146" spans="1:10">
      <c r="A146" s="10"/>
      <c r="B146" s="1" t="str">
        <f>IF(A146="","",MAX(1,MIN(Setup!$B$8,INT((A146-Setup!$B$6)/7)+1)))</f>
        <v/>
      </c>
      <c r="C146" s="11"/>
      <c r="D146" s="11"/>
      <c r="E146" s="11"/>
      <c r="F146" s="15"/>
      <c r="G146" s="16" t="str">
        <f t="shared" si="4"/>
        <v/>
      </c>
      <c r="H146" s="1"/>
      <c r="I146" s="11"/>
      <c r="J146" s="11"/>
    </row>
    <row r="147" spans="1:10">
      <c r="A147" s="10"/>
      <c r="B147" s="1" t="str">
        <f>IF(A147="","",MAX(1,MIN(Setup!$B$8,INT((A147-Setup!$B$6)/7)+1)))</f>
        <v/>
      </c>
      <c r="C147" s="11"/>
      <c r="D147" s="11"/>
      <c r="E147" s="11"/>
      <c r="F147" s="15"/>
      <c r="G147" s="16" t="str">
        <f t="shared" si="4"/>
        <v/>
      </c>
      <c r="H147" s="1"/>
      <c r="I147" s="11"/>
      <c r="J147" s="11"/>
    </row>
    <row r="148" spans="1:10">
      <c r="A148" s="10"/>
      <c r="B148" s="1" t="str">
        <f>IF(A148="","",MAX(1,MIN(Setup!$B$8,INT((A148-Setup!$B$6)/7)+1)))</f>
        <v/>
      </c>
      <c r="C148" s="11"/>
      <c r="D148" s="11"/>
      <c r="E148" s="11"/>
      <c r="F148" s="15"/>
      <c r="G148" s="16" t="str">
        <f t="shared" si="4"/>
        <v/>
      </c>
      <c r="H148" s="1"/>
      <c r="I148" s="11"/>
      <c r="J148" s="11"/>
    </row>
    <row r="149" spans="1:10">
      <c r="A149" s="10"/>
      <c r="B149" s="1" t="str">
        <f>IF(A149="","",MAX(1,MIN(Setup!$B$8,INT((A149-Setup!$B$6)/7)+1)))</f>
        <v/>
      </c>
      <c r="C149" s="11"/>
      <c r="D149" s="11"/>
      <c r="E149" s="11"/>
      <c r="F149" s="15"/>
      <c r="G149" s="16" t="str">
        <f t="shared" si="4"/>
        <v/>
      </c>
      <c r="H149" s="1"/>
      <c r="I149" s="11"/>
      <c r="J149" s="11"/>
    </row>
    <row r="150" spans="1:10">
      <c r="A150" s="10"/>
      <c r="B150" s="1" t="str">
        <f>IF(A150="","",MAX(1,MIN(Setup!$B$8,INT((A150-Setup!$B$6)/7)+1)))</f>
        <v/>
      </c>
      <c r="C150" s="11"/>
      <c r="D150" s="11"/>
      <c r="E150" s="11"/>
      <c r="F150" s="15"/>
      <c r="G150" s="16" t="str">
        <f t="shared" si="4"/>
        <v/>
      </c>
      <c r="H150" s="1"/>
      <c r="I150" s="11"/>
      <c r="J150" s="11"/>
    </row>
    <row r="151" spans="1:10">
      <c r="A151" s="10"/>
      <c r="B151" s="1" t="str">
        <f>IF(A151="","",MAX(1,MIN(Setup!$B$8,INT((A151-Setup!$B$6)/7)+1)))</f>
        <v/>
      </c>
      <c r="C151" s="11"/>
      <c r="D151" s="11"/>
      <c r="E151" s="11"/>
      <c r="F151" s="15"/>
      <c r="G151" s="16" t="str">
        <f t="shared" si="4"/>
        <v/>
      </c>
      <c r="H151" s="1"/>
      <c r="I151" s="11"/>
      <c r="J151" s="11"/>
    </row>
    <row r="152" spans="1:10">
      <c r="A152" s="10"/>
      <c r="B152" s="1" t="str">
        <f>IF(A152="","",MAX(1,MIN(Setup!$B$8,INT((A152-Setup!$B$6)/7)+1)))</f>
        <v/>
      </c>
      <c r="C152" s="11"/>
      <c r="D152" s="11"/>
      <c r="E152" s="11"/>
      <c r="F152" s="15"/>
      <c r="G152" s="16" t="str">
        <f t="shared" si="4"/>
        <v/>
      </c>
      <c r="H152" s="1"/>
      <c r="I152" s="11"/>
      <c r="J152" s="11"/>
    </row>
    <row r="153" spans="1:10">
      <c r="A153" s="10"/>
      <c r="B153" s="1" t="str">
        <f>IF(A153="","",MAX(1,MIN(Setup!$B$8,INT((A153-Setup!$B$6)/7)+1)))</f>
        <v/>
      </c>
      <c r="C153" s="11"/>
      <c r="D153" s="11"/>
      <c r="E153" s="11"/>
      <c r="F153" s="15"/>
      <c r="G153" s="16" t="str">
        <f t="shared" si="4"/>
        <v/>
      </c>
      <c r="H153" s="1"/>
      <c r="I153" s="11"/>
      <c r="J153" s="11"/>
    </row>
    <row r="154" spans="1:10">
      <c r="A154" s="10"/>
      <c r="B154" s="1" t="str">
        <f>IF(A154="","",MAX(1,MIN(Setup!$B$8,INT((A154-Setup!$B$6)/7)+1)))</f>
        <v/>
      </c>
      <c r="C154" s="11"/>
      <c r="D154" s="11"/>
      <c r="E154" s="11"/>
      <c r="F154" s="15"/>
      <c r="G154" s="16" t="str">
        <f t="shared" si="4"/>
        <v/>
      </c>
      <c r="H154" s="1"/>
      <c r="I154" s="11"/>
      <c r="J154" s="11"/>
    </row>
    <row r="155" spans="1:10">
      <c r="A155" s="10"/>
      <c r="B155" s="1" t="str">
        <f>IF(A155="","",MAX(1,MIN(Setup!$B$8,INT((A155-Setup!$B$6)/7)+1)))</f>
        <v/>
      </c>
      <c r="C155" s="11"/>
      <c r="D155" s="11"/>
      <c r="E155" s="11"/>
      <c r="F155" s="15"/>
      <c r="G155" s="16" t="str">
        <f t="shared" si="4"/>
        <v/>
      </c>
      <c r="H155" s="1"/>
      <c r="I155" s="11"/>
      <c r="J155" s="11"/>
    </row>
    <row r="156" spans="1:10">
      <c r="A156" s="10"/>
      <c r="B156" s="1" t="str">
        <f>IF(A156="","",MAX(1,MIN(Setup!$B$8,INT((A156-Setup!$B$6)/7)+1)))</f>
        <v/>
      </c>
      <c r="C156" s="11"/>
      <c r="D156" s="11"/>
      <c r="E156" s="11"/>
      <c r="F156" s="15"/>
      <c r="G156" s="16" t="str">
        <f t="shared" si="4"/>
        <v/>
      </c>
      <c r="H156" s="1"/>
      <c r="I156" s="11"/>
      <c r="J156" s="11"/>
    </row>
    <row r="157" spans="1:10">
      <c r="A157" s="10"/>
      <c r="B157" s="1" t="str">
        <f>IF(A157="","",MAX(1,MIN(Setup!$B$8,INT((A157-Setup!$B$6)/7)+1)))</f>
        <v/>
      </c>
      <c r="C157" s="11"/>
      <c r="D157" s="11"/>
      <c r="E157" s="11"/>
      <c r="F157" s="15"/>
      <c r="G157" s="16" t="str">
        <f t="shared" si="4"/>
        <v/>
      </c>
      <c r="H157" s="1"/>
      <c r="I157" s="11"/>
      <c r="J157" s="11"/>
    </row>
    <row r="158" spans="1:10">
      <c r="A158" s="10"/>
      <c r="B158" s="1" t="str">
        <f>IF(A158="","",MAX(1,MIN(Setup!$B$8,INT((A158-Setup!$B$6)/7)+1)))</f>
        <v/>
      </c>
      <c r="C158" s="11"/>
      <c r="D158" s="11"/>
      <c r="E158" s="11"/>
      <c r="F158" s="15"/>
      <c r="G158" s="16" t="str">
        <f t="shared" si="4"/>
        <v/>
      </c>
      <c r="H158" s="1"/>
      <c r="I158" s="11"/>
      <c r="J158" s="11"/>
    </row>
    <row r="159" spans="1:10">
      <c r="A159" s="10"/>
      <c r="B159" s="1" t="str">
        <f>IF(A159="","",MAX(1,MIN(Setup!$B$8,INT((A159-Setup!$B$6)/7)+1)))</f>
        <v/>
      </c>
      <c r="C159" s="11"/>
      <c r="D159" s="11"/>
      <c r="E159" s="11"/>
      <c r="F159" s="15"/>
      <c r="G159" s="16" t="str">
        <f t="shared" si="4"/>
        <v/>
      </c>
      <c r="H159" s="1"/>
      <c r="I159" s="11"/>
      <c r="J159" s="11"/>
    </row>
    <row r="160" spans="1:10">
      <c r="A160" s="10"/>
      <c r="B160" s="1" t="str">
        <f>IF(A160="","",MAX(1,MIN(Setup!$B$8,INT((A160-Setup!$B$6)/7)+1)))</f>
        <v/>
      </c>
      <c r="C160" s="11"/>
      <c r="D160" s="11"/>
      <c r="E160" s="11"/>
      <c r="F160" s="15"/>
      <c r="G160" s="16" t="str">
        <f t="shared" si="4"/>
        <v/>
      </c>
      <c r="H160" s="1"/>
      <c r="I160" s="11"/>
      <c r="J160" s="11"/>
    </row>
    <row r="161" spans="1:10">
      <c r="A161" s="10"/>
      <c r="B161" s="1" t="str">
        <f>IF(A161="","",MAX(1,MIN(Setup!$B$8,INT((A161-Setup!$B$6)/7)+1)))</f>
        <v/>
      </c>
      <c r="C161" s="11"/>
      <c r="D161" s="11"/>
      <c r="E161" s="11"/>
      <c r="F161" s="15"/>
      <c r="G161" s="16" t="str">
        <f t="shared" si="4"/>
        <v/>
      </c>
      <c r="H161" s="1"/>
      <c r="I161" s="11"/>
      <c r="J161" s="11"/>
    </row>
    <row r="162" spans="1:10">
      <c r="A162" s="10"/>
      <c r="B162" s="1" t="str">
        <f>IF(A162="","",MAX(1,MIN(Setup!$B$8,INT((A162-Setup!$B$6)/7)+1)))</f>
        <v/>
      </c>
      <c r="C162" s="11"/>
      <c r="D162" s="11"/>
      <c r="E162" s="11"/>
      <c r="F162" s="15"/>
      <c r="G162" s="16" t="str">
        <f t="shared" si="4"/>
        <v/>
      </c>
      <c r="H162" s="1"/>
      <c r="I162" s="11"/>
      <c r="J162" s="11"/>
    </row>
    <row r="163" spans="1:10">
      <c r="A163" s="10"/>
      <c r="B163" s="1" t="str">
        <f>IF(A163="","",MAX(1,MIN(Setup!$B$8,INT((A163-Setup!$B$6)/7)+1)))</f>
        <v/>
      </c>
      <c r="C163" s="11"/>
      <c r="D163" s="11"/>
      <c r="E163" s="11"/>
      <c r="F163" s="15"/>
      <c r="G163" s="16" t="str">
        <f t="shared" si="4"/>
        <v/>
      </c>
      <c r="H163" s="1"/>
      <c r="I163" s="11"/>
      <c r="J163" s="11"/>
    </row>
    <row r="164" spans="1:10">
      <c r="A164" s="10"/>
      <c r="B164" s="1" t="str">
        <f>IF(A164="","",MAX(1,MIN(Setup!$B$8,INT((A164-Setup!$B$6)/7)+1)))</f>
        <v/>
      </c>
      <c r="C164" s="11"/>
      <c r="D164" s="11"/>
      <c r="E164" s="11"/>
      <c r="F164" s="15"/>
      <c r="G164" s="16" t="str">
        <f t="shared" si="4"/>
        <v/>
      </c>
      <c r="H164" s="1"/>
      <c r="I164" s="11"/>
      <c r="J164" s="11"/>
    </row>
    <row r="165" spans="1:10">
      <c r="A165" s="10"/>
      <c r="B165" s="1" t="str">
        <f>IF(A165="","",MAX(1,MIN(Setup!$B$8,INT((A165-Setup!$B$6)/7)+1)))</f>
        <v/>
      </c>
      <c r="C165" s="11"/>
      <c r="D165" s="11"/>
      <c r="E165" s="11"/>
      <c r="F165" s="15"/>
      <c r="G165" s="16" t="str">
        <f t="shared" ref="G165:G196" si="5">IF(F165="","",F165/60)</f>
        <v/>
      </c>
      <c r="H165" s="1"/>
      <c r="I165" s="11"/>
      <c r="J165" s="11"/>
    </row>
    <row r="166" spans="1:10">
      <c r="A166" s="10"/>
      <c r="B166" s="1" t="str">
        <f>IF(A166="","",MAX(1,MIN(Setup!$B$8,INT((A166-Setup!$B$6)/7)+1)))</f>
        <v/>
      </c>
      <c r="C166" s="11"/>
      <c r="D166" s="11"/>
      <c r="E166" s="11"/>
      <c r="F166" s="15"/>
      <c r="G166" s="16" t="str">
        <f t="shared" si="5"/>
        <v/>
      </c>
      <c r="H166" s="1"/>
      <c r="I166" s="11"/>
      <c r="J166" s="11"/>
    </row>
    <row r="167" spans="1:10">
      <c r="A167" s="10"/>
      <c r="B167" s="1" t="str">
        <f>IF(A167="","",MAX(1,MIN(Setup!$B$8,INT((A167-Setup!$B$6)/7)+1)))</f>
        <v/>
      </c>
      <c r="C167" s="11"/>
      <c r="D167" s="11"/>
      <c r="E167" s="11"/>
      <c r="F167" s="15"/>
      <c r="G167" s="16" t="str">
        <f t="shared" si="5"/>
        <v/>
      </c>
      <c r="H167" s="1"/>
      <c r="I167" s="11"/>
      <c r="J167" s="11"/>
    </row>
    <row r="168" spans="1:10">
      <c r="A168" s="10"/>
      <c r="B168" s="1" t="str">
        <f>IF(A168="","",MAX(1,MIN(Setup!$B$8,INT((A168-Setup!$B$6)/7)+1)))</f>
        <v/>
      </c>
      <c r="C168" s="11"/>
      <c r="D168" s="11"/>
      <c r="E168" s="11"/>
      <c r="F168" s="15"/>
      <c r="G168" s="16" t="str">
        <f t="shared" si="5"/>
        <v/>
      </c>
      <c r="H168" s="1"/>
      <c r="I168" s="11"/>
      <c r="J168" s="11"/>
    </row>
    <row r="169" spans="1:10">
      <c r="A169" s="10"/>
      <c r="B169" s="1" t="str">
        <f>IF(A169="","",MAX(1,MIN(Setup!$B$8,INT((A169-Setup!$B$6)/7)+1)))</f>
        <v/>
      </c>
      <c r="C169" s="11"/>
      <c r="D169" s="11"/>
      <c r="E169" s="11"/>
      <c r="F169" s="15"/>
      <c r="G169" s="16" t="str">
        <f t="shared" si="5"/>
        <v/>
      </c>
      <c r="H169" s="1"/>
      <c r="I169" s="11"/>
      <c r="J169" s="11"/>
    </row>
    <row r="170" spans="1:10">
      <c r="A170" s="10"/>
      <c r="B170" s="1" t="str">
        <f>IF(A170="","",MAX(1,MIN(Setup!$B$8,INT((A170-Setup!$B$6)/7)+1)))</f>
        <v/>
      </c>
      <c r="C170" s="11"/>
      <c r="D170" s="11"/>
      <c r="E170" s="11"/>
      <c r="F170" s="15"/>
      <c r="G170" s="16" t="str">
        <f t="shared" si="5"/>
        <v/>
      </c>
      <c r="H170" s="1"/>
      <c r="I170" s="11"/>
      <c r="J170" s="11"/>
    </row>
    <row r="171" spans="1:10">
      <c r="A171" s="10"/>
      <c r="B171" s="1" t="str">
        <f>IF(A171="","",MAX(1,MIN(Setup!$B$8,INT((A171-Setup!$B$6)/7)+1)))</f>
        <v/>
      </c>
      <c r="C171" s="11"/>
      <c r="D171" s="11"/>
      <c r="E171" s="11"/>
      <c r="F171" s="15"/>
      <c r="G171" s="16" t="str">
        <f t="shared" si="5"/>
        <v/>
      </c>
      <c r="H171" s="1"/>
      <c r="I171" s="11"/>
      <c r="J171" s="11"/>
    </row>
    <row r="172" spans="1:10">
      <c r="A172" s="10"/>
      <c r="B172" s="1" t="str">
        <f>IF(A172="","",MAX(1,MIN(Setup!$B$8,INT((A172-Setup!$B$6)/7)+1)))</f>
        <v/>
      </c>
      <c r="C172" s="11"/>
      <c r="D172" s="11"/>
      <c r="E172" s="11"/>
      <c r="F172" s="15"/>
      <c r="G172" s="16" t="str">
        <f t="shared" si="5"/>
        <v/>
      </c>
      <c r="H172" s="1"/>
      <c r="I172" s="11"/>
      <c r="J172" s="11"/>
    </row>
    <row r="173" spans="1:10">
      <c r="A173" s="10"/>
      <c r="B173" s="1" t="str">
        <f>IF(A173="","",MAX(1,MIN(Setup!$B$8,INT((A173-Setup!$B$6)/7)+1)))</f>
        <v/>
      </c>
      <c r="C173" s="11"/>
      <c r="D173" s="11"/>
      <c r="E173" s="11"/>
      <c r="F173" s="15"/>
      <c r="G173" s="16" t="str">
        <f t="shared" si="5"/>
        <v/>
      </c>
      <c r="H173" s="1"/>
      <c r="I173" s="11"/>
      <c r="J173" s="11"/>
    </row>
    <row r="174" spans="1:10">
      <c r="A174" s="10"/>
      <c r="B174" s="1" t="str">
        <f>IF(A174="","",MAX(1,MIN(Setup!$B$8,INT((A174-Setup!$B$6)/7)+1)))</f>
        <v/>
      </c>
      <c r="C174" s="11"/>
      <c r="D174" s="11"/>
      <c r="E174" s="11"/>
      <c r="F174" s="15"/>
      <c r="G174" s="16" t="str">
        <f t="shared" si="5"/>
        <v/>
      </c>
      <c r="H174" s="1"/>
      <c r="I174" s="11"/>
      <c r="J174" s="11"/>
    </row>
    <row r="175" spans="1:10">
      <c r="A175" s="10"/>
      <c r="B175" s="1" t="str">
        <f>IF(A175="","",MAX(1,MIN(Setup!$B$8,INT((A175-Setup!$B$6)/7)+1)))</f>
        <v/>
      </c>
      <c r="C175" s="11"/>
      <c r="D175" s="11"/>
      <c r="E175" s="11"/>
      <c r="F175" s="15"/>
      <c r="G175" s="16" t="str">
        <f t="shared" si="5"/>
        <v/>
      </c>
      <c r="H175" s="1"/>
      <c r="I175" s="11"/>
      <c r="J175" s="11"/>
    </row>
    <row r="176" spans="1:10">
      <c r="A176" s="10"/>
      <c r="B176" s="1" t="str">
        <f>IF(A176="","",MAX(1,MIN(Setup!$B$8,INT((A176-Setup!$B$6)/7)+1)))</f>
        <v/>
      </c>
      <c r="C176" s="11"/>
      <c r="D176" s="11"/>
      <c r="E176" s="11"/>
      <c r="F176" s="15"/>
      <c r="G176" s="16" t="str">
        <f t="shared" si="5"/>
        <v/>
      </c>
      <c r="H176" s="1"/>
      <c r="I176" s="11"/>
      <c r="J176" s="11"/>
    </row>
    <row r="177" spans="1:10">
      <c r="A177" s="10"/>
      <c r="B177" s="1" t="str">
        <f>IF(A177="","",MAX(1,MIN(Setup!$B$8,INT((A177-Setup!$B$6)/7)+1)))</f>
        <v/>
      </c>
      <c r="C177" s="11"/>
      <c r="D177" s="11"/>
      <c r="E177" s="11"/>
      <c r="F177" s="15"/>
      <c r="G177" s="16" t="str">
        <f t="shared" si="5"/>
        <v/>
      </c>
      <c r="H177" s="1"/>
      <c r="I177" s="11"/>
      <c r="J177" s="11"/>
    </row>
    <row r="178" spans="1:10">
      <c r="A178" s="10"/>
      <c r="B178" s="1" t="str">
        <f>IF(A178="","",MAX(1,MIN(Setup!$B$8,INT((A178-Setup!$B$6)/7)+1)))</f>
        <v/>
      </c>
      <c r="C178" s="11"/>
      <c r="D178" s="11"/>
      <c r="E178" s="11"/>
      <c r="F178" s="15"/>
      <c r="G178" s="16" t="str">
        <f t="shared" si="5"/>
        <v/>
      </c>
      <c r="H178" s="1"/>
      <c r="I178" s="11"/>
      <c r="J178" s="11"/>
    </row>
    <row r="179" spans="1:10">
      <c r="A179" s="10"/>
      <c r="B179" s="1" t="str">
        <f>IF(A179="","",MAX(1,MIN(Setup!$B$8,INT((A179-Setup!$B$6)/7)+1)))</f>
        <v/>
      </c>
      <c r="C179" s="11"/>
      <c r="D179" s="11"/>
      <c r="E179" s="11"/>
      <c r="F179" s="15"/>
      <c r="G179" s="16" t="str">
        <f t="shared" si="5"/>
        <v/>
      </c>
      <c r="H179" s="1"/>
      <c r="I179" s="11"/>
      <c r="J179" s="11"/>
    </row>
    <row r="180" spans="1:10">
      <c r="A180" s="10"/>
      <c r="B180" s="1" t="str">
        <f>IF(A180="","",MAX(1,MIN(Setup!$B$8,INT((A180-Setup!$B$6)/7)+1)))</f>
        <v/>
      </c>
      <c r="C180" s="11"/>
      <c r="D180" s="11"/>
      <c r="E180" s="11"/>
      <c r="F180" s="15"/>
      <c r="G180" s="16" t="str">
        <f t="shared" si="5"/>
        <v/>
      </c>
      <c r="H180" s="1"/>
      <c r="I180" s="11"/>
      <c r="J180" s="11"/>
    </row>
    <row r="181" spans="1:10">
      <c r="A181" s="10"/>
      <c r="B181" s="1" t="str">
        <f>IF(A181="","",MAX(1,MIN(Setup!$B$8,INT((A181-Setup!$B$6)/7)+1)))</f>
        <v/>
      </c>
      <c r="C181" s="11"/>
      <c r="D181" s="11"/>
      <c r="E181" s="11"/>
      <c r="F181" s="15"/>
      <c r="G181" s="16" t="str">
        <f t="shared" si="5"/>
        <v/>
      </c>
      <c r="H181" s="1"/>
      <c r="I181" s="11"/>
      <c r="J181" s="11"/>
    </row>
    <row r="182" spans="1:10">
      <c r="A182" s="10"/>
      <c r="B182" s="1" t="str">
        <f>IF(A182="","",MAX(1,MIN(Setup!$B$8,INT((A182-Setup!$B$6)/7)+1)))</f>
        <v/>
      </c>
      <c r="C182" s="11"/>
      <c r="D182" s="11"/>
      <c r="E182" s="11"/>
      <c r="F182" s="15"/>
      <c r="G182" s="16" t="str">
        <f t="shared" si="5"/>
        <v/>
      </c>
      <c r="H182" s="1"/>
      <c r="I182" s="11"/>
      <c r="J182" s="11"/>
    </row>
    <row r="183" spans="1:10">
      <c r="A183" s="10"/>
      <c r="B183" s="1" t="str">
        <f>IF(A183="","",MAX(1,MIN(Setup!$B$8,INT((A183-Setup!$B$6)/7)+1)))</f>
        <v/>
      </c>
      <c r="C183" s="11"/>
      <c r="D183" s="11"/>
      <c r="E183" s="11"/>
      <c r="F183" s="15"/>
      <c r="G183" s="16" t="str">
        <f t="shared" si="5"/>
        <v/>
      </c>
      <c r="H183" s="1"/>
      <c r="I183" s="11"/>
      <c r="J183" s="11"/>
    </row>
    <row r="184" spans="1:10">
      <c r="A184" s="10"/>
      <c r="B184" s="1" t="str">
        <f>IF(A184="","",MAX(1,MIN(Setup!$B$8,INT((A184-Setup!$B$6)/7)+1)))</f>
        <v/>
      </c>
      <c r="C184" s="11"/>
      <c r="D184" s="11"/>
      <c r="E184" s="11"/>
      <c r="F184" s="15"/>
      <c r="G184" s="16" t="str">
        <f t="shared" si="5"/>
        <v/>
      </c>
      <c r="H184" s="1"/>
      <c r="I184" s="11"/>
      <c r="J184" s="11"/>
    </row>
    <row r="185" spans="1:10">
      <c r="A185" s="10"/>
      <c r="B185" s="1" t="str">
        <f>IF(A185="","",MAX(1,MIN(Setup!$B$8,INT((A185-Setup!$B$6)/7)+1)))</f>
        <v/>
      </c>
      <c r="C185" s="11"/>
      <c r="D185" s="11"/>
      <c r="E185" s="11"/>
      <c r="F185" s="15"/>
      <c r="G185" s="16" t="str">
        <f t="shared" si="5"/>
        <v/>
      </c>
      <c r="H185" s="1"/>
      <c r="I185" s="11"/>
      <c r="J185" s="11"/>
    </row>
    <row r="186" spans="1:10">
      <c r="A186" s="10"/>
      <c r="B186" s="1" t="str">
        <f>IF(A186="","",MAX(1,MIN(Setup!$B$8,INT((A186-Setup!$B$6)/7)+1)))</f>
        <v/>
      </c>
      <c r="C186" s="11"/>
      <c r="D186" s="11"/>
      <c r="E186" s="11"/>
      <c r="F186" s="15"/>
      <c r="G186" s="16" t="str">
        <f t="shared" si="5"/>
        <v/>
      </c>
      <c r="H186" s="1"/>
      <c r="I186" s="11"/>
      <c r="J186" s="11"/>
    </row>
    <row r="187" spans="1:10">
      <c r="A187" s="10"/>
      <c r="B187" s="1" t="str">
        <f>IF(A187="","",MAX(1,MIN(Setup!$B$8,INT((A187-Setup!$B$6)/7)+1)))</f>
        <v/>
      </c>
      <c r="C187" s="11"/>
      <c r="D187" s="11"/>
      <c r="E187" s="11"/>
      <c r="F187" s="15"/>
      <c r="G187" s="16" t="str">
        <f t="shared" si="5"/>
        <v/>
      </c>
      <c r="H187" s="1"/>
      <c r="I187" s="11"/>
      <c r="J187" s="11"/>
    </row>
    <row r="188" spans="1:10">
      <c r="A188" s="10"/>
      <c r="B188" s="1" t="str">
        <f>IF(A188="","",MAX(1,MIN(Setup!$B$8,INT((A188-Setup!$B$6)/7)+1)))</f>
        <v/>
      </c>
      <c r="C188" s="11"/>
      <c r="D188" s="11"/>
      <c r="E188" s="11"/>
      <c r="F188" s="15"/>
      <c r="G188" s="16" t="str">
        <f t="shared" si="5"/>
        <v/>
      </c>
      <c r="H188" s="1"/>
      <c r="I188" s="11"/>
      <c r="J188" s="11"/>
    </row>
    <row r="189" spans="1:10">
      <c r="A189" s="10"/>
      <c r="B189" s="1" t="str">
        <f>IF(A189="","",MAX(1,MIN(Setup!$B$8,INT((A189-Setup!$B$6)/7)+1)))</f>
        <v/>
      </c>
      <c r="C189" s="11"/>
      <c r="D189" s="11"/>
      <c r="E189" s="11"/>
      <c r="F189" s="15"/>
      <c r="G189" s="16" t="str">
        <f t="shared" si="5"/>
        <v/>
      </c>
      <c r="H189" s="1"/>
      <c r="I189" s="11"/>
      <c r="J189" s="11"/>
    </row>
    <row r="190" spans="1:10">
      <c r="A190" s="10"/>
      <c r="B190" s="1" t="str">
        <f>IF(A190="","",MAX(1,MIN(Setup!$B$8,INT((A190-Setup!$B$6)/7)+1)))</f>
        <v/>
      </c>
      <c r="C190" s="11"/>
      <c r="D190" s="11"/>
      <c r="E190" s="11"/>
      <c r="F190" s="15"/>
      <c r="G190" s="16" t="str">
        <f t="shared" si="5"/>
        <v/>
      </c>
      <c r="H190" s="1"/>
      <c r="I190" s="11"/>
      <c r="J190" s="11"/>
    </row>
    <row r="191" spans="1:10">
      <c r="A191" s="10"/>
      <c r="B191" s="1" t="str">
        <f>IF(A191="","",MAX(1,MIN(Setup!$B$8,INT((A191-Setup!$B$6)/7)+1)))</f>
        <v/>
      </c>
      <c r="C191" s="11"/>
      <c r="D191" s="11"/>
      <c r="E191" s="11"/>
      <c r="F191" s="15"/>
      <c r="G191" s="16" t="str">
        <f t="shared" si="5"/>
        <v/>
      </c>
      <c r="H191" s="1"/>
      <c r="I191" s="11"/>
      <c r="J191" s="11"/>
    </row>
    <row r="192" spans="1:10">
      <c r="A192" s="10"/>
      <c r="B192" s="1" t="str">
        <f>IF(A192="","",MAX(1,MIN(Setup!$B$8,INT((A192-Setup!$B$6)/7)+1)))</f>
        <v/>
      </c>
      <c r="C192" s="11"/>
      <c r="D192" s="11"/>
      <c r="E192" s="11"/>
      <c r="F192" s="15"/>
      <c r="G192" s="16" t="str">
        <f t="shared" si="5"/>
        <v/>
      </c>
      <c r="H192" s="1"/>
      <c r="I192" s="11"/>
      <c r="J192" s="11"/>
    </row>
    <row r="193" spans="1:10">
      <c r="A193" s="10"/>
      <c r="B193" s="1" t="str">
        <f>IF(A193="","",MAX(1,MIN(Setup!$B$8,INT((A193-Setup!$B$6)/7)+1)))</f>
        <v/>
      </c>
      <c r="C193" s="11"/>
      <c r="D193" s="11"/>
      <c r="E193" s="11"/>
      <c r="F193" s="15"/>
      <c r="G193" s="16" t="str">
        <f t="shared" si="5"/>
        <v/>
      </c>
      <c r="H193" s="1"/>
      <c r="I193" s="11"/>
      <c r="J193" s="11"/>
    </row>
    <row r="194" spans="1:10">
      <c r="A194" s="10"/>
      <c r="B194" s="1" t="str">
        <f>IF(A194="","",MAX(1,MIN(Setup!$B$8,INT((A194-Setup!$B$6)/7)+1)))</f>
        <v/>
      </c>
      <c r="C194" s="11"/>
      <c r="D194" s="11"/>
      <c r="E194" s="11"/>
      <c r="F194" s="15"/>
      <c r="G194" s="16" t="str">
        <f t="shared" si="5"/>
        <v/>
      </c>
      <c r="H194" s="1"/>
      <c r="I194" s="11"/>
      <c r="J194" s="11"/>
    </row>
    <row r="195" spans="1:10">
      <c r="A195" s="10"/>
      <c r="B195" s="1" t="str">
        <f>IF(A195="","",MAX(1,MIN(Setup!$B$8,INT((A195-Setup!$B$6)/7)+1)))</f>
        <v/>
      </c>
      <c r="C195" s="11"/>
      <c r="D195" s="11"/>
      <c r="E195" s="11"/>
      <c r="F195" s="15"/>
      <c r="G195" s="16" t="str">
        <f t="shared" si="5"/>
        <v/>
      </c>
      <c r="H195" s="1"/>
      <c r="I195" s="11"/>
      <c r="J195" s="11"/>
    </row>
    <row r="196" spans="1:10">
      <c r="A196" s="10"/>
      <c r="B196" s="1" t="str">
        <f>IF(A196="","",MAX(1,MIN(Setup!$B$8,INT((A196-Setup!$B$6)/7)+1)))</f>
        <v/>
      </c>
      <c r="C196" s="11"/>
      <c r="D196" s="11"/>
      <c r="E196" s="11"/>
      <c r="F196" s="15"/>
      <c r="G196" s="16" t="str">
        <f t="shared" si="5"/>
        <v/>
      </c>
      <c r="H196" s="1"/>
      <c r="I196" s="11"/>
      <c r="J196" s="11"/>
    </row>
    <row r="197" spans="1:10">
      <c r="A197" s="10"/>
      <c r="B197" s="1" t="str">
        <f>IF(A197="","",MAX(1,MIN(Setup!$B$8,INT((A197-Setup!$B$6)/7)+1)))</f>
        <v/>
      </c>
      <c r="C197" s="11"/>
      <c r="D197" s="11"/>
      <c r="E197" s="11"/>
      <c r="F197" s="15"/>
      <c r="G197" s="16" t="str">
        <f t="shared" ref="G197:G228" si="6">IF(F197="","",F197/60)</f>
        <v/>
      </c>
      <c r="H197" s="1"/>
      <c r="I197" s="11"/>
      <c r="J197" s="11"/>
    </row>
    <row r="198" spans="1:10">
      <c r="A198" s="10"/>
      <c r="B198" s="1" t="str">
        <f>IF(A198="","",MAX(1,MIN(Setup!$B$8,INT((A198-Setup!$B$6)/7)+1)))</f>
        <v/>
      </c>
      <c r="C198" s="11"/>
      <c r="D198" s="11"/>
      <c r="E198" s="11"/>
      <c r="F198" s="15"/>
      <c r="G198" s="16" t="str">
        <f t="shared" si="6"/>
        <v/>
      </c>
      <c r="H198" s="1"/>
      <c r="I198" s="11"/>
      <c r="J198" s="11"/>
    </row>
    <row r="199" spans="1:10">
      <c r="A199" s="10"/>
      <c r="B199" s="1" t="str">
        <f>IF(A199="","",MAX(1,MIN(Setup!$B$8,INT((A199-Setup!$B$6)/7)+1)))</f>
        <v/>
      </c>
      <c r="C199" s="11"/>
      <c r="D199" s="11"/>
      <c r="E199" s="11"/>
      <c r="F199" s="15"/>
      <c r="G199" s="16" t="str">
        <f t="shared" si="6"/>
        <v/>
      </c>
      <c r="H199" s="1"/>
      <c r="I199" s="11"/>
      <c r="J199" s="11"/>
    </row>
    <row r="200" spans="1:10">
      <c r="A200" s="10"/>
      <c r="B200" s="1" t="str">
        <f>IF(A200="","",MAX(1,MIN(Setup!$B$8,INT((A200-Setup!$B$6)/7)+1)))</f>
        <v/>
      </c>
      <c r="C200" s="11"/>
      <c r="D200" s="11"/>
      <c r="E200" s="11"/>
      <c r="F200" s="15"/>
      <c r="G200" s="16" t="str">
        <f t="shared" si="6"/>
        <v/>
      </c>
      <c r="H200" s="1"/>
      <c r="I200" s="11"/>
      <c r="J200" s="11"/>
    </row>
    <row r="201" spans="1:10">
      <c r="A201" s="10"/>
      <c r="B201" s="1" t="str">
        <f>IF(A201="","",MAX(1,MIN(Setup!$B$8,INT((A201-Setup!$B$6)/7)+1)))</f>
        <v/>
      </c>
      <c r="C201" s="11"/>
      <c r="D201" s="11"/>
      <c r="E201" s="11"/>
      <c r="F201" s="15"/>
      <c r="G201" s="16" t="str">
        <f t="shared" si="6"/>
        <v/>
      </c>
      <c r="H201" s="1"/>
      <c r="I201" s="11"/>
      <c r="J201" s="11"/>
    </row>
    <row r="202" spans="1:10">
      <c r="A202" s="10"/>
      <c r="B202" s="1" t="str">
        <f>IF(A202="","",MAX(1,MIN(Setup!$B$8,INT((A202-Setup!$B$6)/7)+1)))</f>
        <v/>
      </c>
      <c r="C202" s="11"/>
      <c r="D202" s="11"/>
      <c r="E202" s="11"/>
      <c r="F202" s="15"/>
      <c r="G202" s="16" t="str">
        <f t="shared" si="6"/>
        <v/>
      </c>
      <c r="H202" s="1"/>
      <c r="I202" s="11"/>
      <c r="J202" s="11"/>
    </row>
    <row r="203" spans="1:10">
      <c r="A203" s="10"/>
      <c r="B203" s="1" t="str">
        <f>IF(A203="","",MAX(1,MIN(Setup!$B$8,INT((A203-Setup!$B$6)/7)+1)))</f>
        <v/>
      </c>
      <c r="C203" s="11"/>
      <c r="D203" s="11"/>
      <c r="E203" s="11"/>
      <c r="F203" s="15"/>
      <c r="G203" s="16" t="str">
        <f t="shared" si="6"/>
        <v/>
      </c>
      <c r="H203" s="1"/>
      <c r="I203" s="11"/>
      <c r="J203" s="11"/>
    </row>
    <row r="204" spans="1:10">
      <c r="A204" s="10"/>
      <c r="B204" s="1" t="str">
        <f>IF(A204="","",MAX(1,MIN(Setup!$B$8,INT((A204-Setup!$B$6)/7)+1)))</f>
        <v/>
      </c>
      <c r="C204" s="11"/>
      <c r="D204" s="11"/>
      <c r="E204" s="11"/>
      <c r="F204" s="15"/>
      <c r="G204" s="16" t="str">
        <f t="shared" si="6"/>
        <v/>
      </c>
      <c r="H204" s="1"/>
      <c r="I204" s="11"/>
      <c r="J204" s="11"/>
    </row>
  </sheetData>
  <mergeCells count="2">
    <mergeCell ref="A1:J2"/>
    <mergeCell ref="A3:J3"/>
  </mergeCells>
  <conditionalFormatting sqref="H5:H204">
    <cfRule type="containsText" dxfId="19" priority="1" operator="containsText" text="Completed"/>
    <cfRule type="containsText" dxfId="18" priority="2" operator="containsText" text="In Progress"/>
    <cfRule type="containsText" dxfId="17" priority="6" operator="containsText" text="Not Started"/>
    <cfRule type="containsText" dxfId="16" priority="4" operator="containsText" text="Blocked"/>
    <cfRule type="containsText" dxfId="15" priority="8" operator="containsText" text="Partial"/>
  </conditionalFormatting>
  <dataValidations count="2">
    <dataValidation type="list" sqref="C5:C204" xr:uid="{00000000-0002-0000-0300-000000000000}">
      <formula1>"Reading,SQL Exercise,PL/SQL Exercise,APEX Build,Debugging,Testing,Project,Review"</formula1>
    </dataValidation>
    <dataValidation type="list" sqref="H5:H204" xr:uid="{00000000-0002-0000-0300-000001000000}">
      <formula1>"Completed,Partial,Blocked"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2"/>
  <sheetViews>
    <sheetView showGridLines="0" workbookViewId="0">
      <selection sqref="A1:H2"/>
    </sheetView>
  </sheetViews>
  <sheetFormatPr baseColWidth="10" defaultColWidth="8.83203125" defaultRowHeight="15"/>
  <cols>
    <col min="1" max="1" width="8" customWidth="1"/>
    <col min="2" max="2" width="12" customWidth="1"/>
    <col min="3" max="3" width="30" customWidth="1"/>
    <col min="4" max="4" width="65" customWidth="1"/>
    <col min="5" max="5" width="14" customWidth="1"/>
    <col min="6" max="6" width="13" customWidth="1"/>
    <col min="7" max="8" width="34" customWidth="1"/>
  </cols>
  <sheetData>
    <row r="1" spans="1:8" ht="30" customHeight="1">
      <c r="A1" s="31" t="s">
        <v>503</v>
      </c>
      <c r="B1" s="31" t="s">
        <v>503</v>
      </c>
      <c r="C1" s="31" t="s">
        <v>503</v>
      </c>
      <c r="D1" s="31" t="s">
        <v>503</v>
      </c>
      <c r="E1" s="31" t="s">
        <v>503</v>
      </c>
      <c r="F1" s="31" t="s">
        <v>503</v>
      </c>
      <c r="G1" s="31" t="s">
        <v>503</v>
      </c>
      <c r="H1" s="31" t="s">
        <v>503</v>
      </c>
    </row>
    <row r="2" spans="1:8" ht="30" customHeight="1">
      <c r="A2" s="31" t="s">
        <v>503</v>
      </c>
      <c r="B2" s="31" t="s">
        <v>503</v>
      </c>
      <c r="C2" s="31" t="s">
        <v>503</v>
      </c>
      <c r="D2" s="31" t="s">
        <v>503</v>
      </c>
      <c r="E2" s="31" t="s">
        <v>503</v>
      </c>
      <c r="F2" s="31" t="s">
        <v>503</v>
      </c>
      <c r="G2" s="31" t="s">
        <v>503</v>
      </c>
      <c r="H2" s="31" t="s">
        <v>503</v>
      </c>
    </row>
    <row r="3" spans="1:8" ht="22" customHeight="1">
      <c r="A3" s="32" t="s">
        <v>504</v>
      </c>
      <c r="B3" s="32" t="s">
        <v>504</v>
      </c>
      <c r="C3" s="32" t="s">
        <v>504</v>
      </c>
      <c r="D3" s="32" t="s">
        <v>504</v>
      </c>
      <c r="E3" s="32" t="s">
        <v>504</v>
      </c>
      <c r="F3" s="32" t="s">
        <v>504</v>
      </c>
      <c r="G3" s="32" t="s">
        <v>504</v>
      </c>
      <c r="H3" s="32" t="s">
        <v>504</v>
      </c>
    </row>
    <row r="4" spans="1:8">
      <c r="A4" s="25" t="s">
        <v>94</v>
      </c>
      <c r="B4" s="26" t="s">
        <v>505</v>
      </c>
      <c r="C4" s="26" t="s">
        <v>506</v>
      </c>
      <c r="D4" s="26" t="s">
        <v>507</v>
      </c>
      <c r="E4" s="26" t="s">
        <v>36</v>
      </c>
      <c r="F4" s="26" t="s">
        <v>14</v>
      </c>
      <c r="G4" s="26" t="s">
        <v>98</v>
      </c>
      <c r="H4" s="27" t="s">
        <v>508</v>
      </c>
    </row>
    <row r="5" spans="1:8" ht="48" customHeight="1">
      <c r="A5" s="1" t="s">
        <v>509</v>
      </c>
      <c r="B5" s="1">
        <v>1</v>
      </c>
      <c r="C5" s="11" t="s">
        <v>510</v>
      </c>
      <c r="D5" s="11" t="s">
        <v>511</v>
      </c>
      <c r="E5" s="11" t="s">
        <v>105</v>
      </c>
      <c r="F5" s="17">
        <f t="shared" ref="F5:F12" si="0">IF(E5="Completed",1,IF(E5="In Progress",0.5,IF(E5="Blocked",0.25,0)))</f>
        <v>0</v>
      </c>
      <c r="G5" s="11"/>
      <c r="H5" s="11"/>
    </row>
    <row r="6" spans="1:8" ht="48" customHeight="1">
      <c r="A6" s="1" t="s">
        <v>512</v>
      </c>
      <c r="B6" s="1">
        <v>4</v>
      </c>
      <c r="C6" s="11" t="s">
        <v>513</v>
      </c>
      <c r="D6" s="11" t="s">
        <v>514</v>
      </c>
      <c r="E6" s="11" t="s">
        <v>105</v>
      </c>
      <c r="F6" s="17">
        <f t="shared" si="0"/>
        <v>0</v>
      </c>
      <c r="G6" s="11"/>
      <c r="H6" s="11"/>
    </row>
    <row r="7" spans="1:8" ht="48" customHeight="1">
      <c r="A7" s="1" t="s">
        <v>515</v>
      </c>
      <c r="B7" s="1">
        <v>8</v>
      </c>
      <c r="C7" s="11" t="s">
        <v>516</v>
      </c>
      <c r="D7" s="11" t="s">
        <v>517</v>
      </c>
      <c r="E7" s="11" t="s">
        <v>105</v>
      </c>
      <c r="F7" s="17">
        <f t="shared" si="0"/>
        <v>0</v>
      </c>
      <c r="G7" s="11"/>
      <c r="H7" s="11"/>
    </row>
    <row r="8" spans="1:8" ht="48" customHeight="1">
      <c r="A8" s="1" t="s">
        <v>518</v>
      </c>
      <c r="B8" s="1">
        <v>12</v>
      </c>
      <c r="C8" s="11" t="s">
        <v>519</v>
      </c>
      <c r="D8" s="11" t="s">
        <v>520</v>
      </c>
      <c r="E8" s="11" t="s">
        <v>105</v>
      </c>
      <c r="F8" s="17">
        <f t="shared" si="0"/>
        <v>0</v>
      </c>
      <c r="G8" s="11"/>
      <c r="H8" s="11"/>
    </row>
    <row r="9" spans="1:8" ht="48" customHeight="1">
      <c r="A9" s="1" t="s">
        <v>521</v>
      </c>
      <c r="B9" s="1">
        <v>16</v>
      </c>
      <c r="C9" s="11" t="s">
        <v>522</v>
      </c>
      <c r="D9" s="11" t="s">
        <v>523</v>
      </c>
      <c r="E9" s="11" t="s">
        <v>105</v>
      </c>
      <c r="F9" s="17">
        <f t="shared" si="0"/>
        <v>0</v>
      </c>
      <c r="G9" s="11"/>
      <c r="H9" s="11"/>
    </row>
    <row r="10" spans="1:8" ht="48" customHeight="1">
      <c r="A10" s="1" t="s">
        <v>524</v>
      </c>
      <c r="B10" s="1">
        <v>20</v>
      </c>
      <c r="C10" s="11" t="s">
        <v>525</v>
      </c>
      <c r="D10" s="11" t="s">
        <v>526</v>
      </c>
      <c r="E10" s="11" t="s">
        <v>105</v>
      </c>
      <c r="F10" s="17">
        <f t="shared" si="0"/>
        <v>0</v>
      </c>
      <c r="G10" s="11"/>
      <c r="H10" s="11"/>
    </row>
    <row r="11" spans="1:8" ht="48" customHeight="1">
      <c r="A11" s="1" t="s">
        <v>527</v>
      </c>
      <c r="B11" s="1">
        <v>22</v>
      </c>
      <c r="C11" s="11" t="s">
        <v>528</v>
      </c>
      <c r="D11" s="11" t="s">
        <v>529</v>
      </c>
      <c r="E11" s="11" t="s">
        <v>105</v>
      </c>
      <c r="F11" s="17">
        <f t="shared" si="0"/>
        <v>0</v>
      </c>
      <c r="G11" s="11"/>
      <c r="H11" s="11"/>
    </row>
    <row r="12" spans="1:8" ht="48" customHeight="1">
      <c r="A12" s="1" t="s">
        <v>530</v>
      </c>
      <c r="B12" s="1">
        <v>26</v>
      </c>
      <c r="C12" s="11" t="s">
        <v>531</v>
      </c>
      <c r="D12" s="11" t="s">
        <v>532</v>
      </c>
      <c r="E12" s="11" t="s">
        <v>105</v>
      </c>
      <c r="F12" s="17">
        <f t="shared" si="0"/>
        <v>0</v>
      </c>
      <c r="G12" s="11"/>
      <c r="H12" s="11"/>
    </row>
  </sheetData>
  <mergeCells count="2">
    <mergeCell ref="A1:H2"/>
    <mergeCell ref="A3:H3"/>
  </mergeCells>
  <conditionalFormatting sqref="E5:E12">
    <cfRule type="containsText" dxfId="14" priority="1" operator="containsText" text="Completed"/>
    <cfRule type="containsText" dxfId="13" priority="2" operator="containsText" text="In Progress"/>
    <cfRule type="containsText" dxfId="12" priority="8" operator="containsText" text="Partial"/>
    <cfRule type="containsText" dxfId="11" priority="4" operator="containsText" text="Blocked"/>
    <cfRule type="containsText" dxfId="10" priority="6" operator="containsText" text="Not Started"/>
  </conditionalFormatting>
  <conditionalFormatting sqref="F5:F12">
    <cfRule type="dataBar" priority="9">
      <dataBar>
        <cfvo type="min"/>
        <cfvo type="max"/>
        <color rgb="FF16A34A"/>
      </dataBar>
    </cfRule>
    <cfRule type="dataBar" priority="10">
      <dataBar>
        <cfvo type="min"/>
        <cfvo type="max"/>
        <color rgb="FF16A34A"/>
      </dataBar>
      <extLst>
        <ext xmlns:x14="http://schemas.microsoft.com/office/spreadsheetml/2009/9/main" uri="{B025F937-C7B1-47D3-B67F-A62EFF666E3E}">
          <x14:id>{7E70F304-139B-506A-F031-B7523715D4C3}</x14:id>
        </ext>
      </extLst>
    </cfRule>
  </conditionalFormatting>
  <dataValidations count="1">
    <dataValidation type="list" sqref="E5:E12" xr:uid="{00000000-0002-0000-0400-000000000000}">
      <formula1>"Not Started,In Progress,Blocked,Completed"</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E70F304-139B-506A-F031-B7523715D4C3}">
            <x14:dataBar>
              <x14:cfvo type="min"/>
              <x14:cfvo type="max"/>
              <x14:negativeFillColor auto="1"/>
              <x14:axisColor auto="1"/>
            </x14:dataBar>
          </x14:cfRule>
          <xm:sqref>F5:F12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4"/>
  <sheetViews>
    <sheetView showGridLines="0" workbookViewId="0"/>
  </sheetViews>
  <sheetFormatPr baseColWidth="10" defaultColWidth="8.83203125" defaultRowHeight="15"/>
  <cols>
    <col min="1" max="1" width="18" customWidth="1"/>
    <col min="2" max="2" width="35" customWidth="1"/>
    <col min="3" max="3" width="12" customWidth="1"/>
    <col min="4" max="4" width="63" customWidth="1"/>
    <col min="5" max="5" width="14" customWidth="1"/>
    <col min="6" max="6" width="13" customWidth="1"/>
    <col min="7" max="8" width="34" customWidth="1"/>
  </cols>
  <sheetData>
    <row r="1" spans="1:8" ht="30" customHeight="1">
      <c r="A1" s="31" t="s">
        <v>533</v>
      </c>
      <c r="B1" s="31" t="s">
        <v>533</v>
      </c>
      <c r="C1" s="31" t="s">
        <v>533</v>
      </c>
      <c r="D1" s="31" t="s">
        <v>533</v>
      </c>
      <c r="E1" s="31" t="s">
        <v>533</v>
      </c>
      <c r="F1" s="31" t="s">
        <v>533</v>
      </c>
      <c r="G1" s="31" t="s">
        <v>533</v>
      </c>
      <c r="H1" s="31" t="s">
        <v>533</v>
      </c>
    </row>
    <row r="2" spans="1:8" ht="30" customHeight="1">
      <c r="A2" s="31" t="s">
        <v>533</v>
      </c>
      <c r="B2" s="31" t="s">
        <v>533</v>
      </c>
      <c r="C2" s="31" t="s">
        <v>533</v>
      </c>
      <c r="D2" s="31" t="s">
        <v>533</v>
      </c>
      <c r="E2" s="31" t="s">
        <v>533</v>
      </c>
      <c r="F2" s="31" t="s">
        <v>533</v>
      </c>
      <c r="G2" s="31" t="s">
        <v>533</v>
      </c>
      <c r="H2" s="31" t="s">
        <v>533</v>
      </c>
    </row>
    <row r="3" spans="1:8" ht="22" customHeight="1">
      <c r="A3" s="32" t="s">
        <v>534</v>
      </c>
      <c r="B3" s="32" t="s">
        <v>534</v>
      </c>
      <c r="C3" s="32" t="s">
        <v>534</v>
      </c>
      <c r="D3" s="32" t="s">
        <v>534</v>
      </c>
      <c r="E3" s="32" t="s">
        <v>534</v>
      </c>
      <c r="F3" s="32" t="s">
        <v>534</v>
      </c>
      <c r="G3" s="32" t="s">
        <v>534</v>
      </c>
      <c r="H3" s="32" t="s">
        <v>534</v>
      </c>
    </row>
    <row r="4" spans="1:8">
      <c r="A4" s="25" t="s">
        <v>535</v>
      </c>
      <c r="B4" s="26" t="s">
        <v>536</v>
      </c>
      <c r="C4" s="26" t="s">
        <v>505</v>
      </c>
      <c r="D4" s="26" t="s">
        <v>507</v>
      </c>
      <c r="E4" s="26" t="s">
        <v>36</v>
      </c>
      <c r="F4" s="26" t="s">
        <v>14</v>
      </c>
      <c r="G4" s="26" t="s">
        <v>98</v>
      </c>
      <c r="H4" s="27" t="s">
        <v>100</v>
      </c>
    </row>
    <row r="5" spans="1:8" ht="44" customHeight="1">
      <c r="A5" s="1" t="s">
        <v>537</v>
      </c>
      <c r="B5" s="11" t="s">
        <v>538</v>
      </c>
      <c r="C5" s="11">
        <v>24</v>
      </c>
      <c r="D5" s="11" t="s">
        <v>539</v>
      </c>
      <c r="E5" s="11" t="s">
        <v>105</v>
      </c>
      <c r="F5" s="17">
        <f t="shared" ref="F5:F24" si="0">IF(E5="Completed",1,IF(E5="In Progress",0.5,IF(E5="Blocked",0.25,0)))</f>
        <v>0</v>
      </c>
      <c r="G5" s="11"/>
      <c r="H5" s="11"/>
    </row>
    <row r="6" spans="1:8" ht="44" customHeight="1">
      <c r="A6" s="1" t="s">
        <v>537</v>
      </c>
      <c r="B6" s="11" t="s">
        <v>540</v>
      </c>
      <c r="C6" s="11">
        <v>24</v>
      </c>
      <c r="D6" s="11" t="s">
        <v>541</v>
      </c>
      <c r="E6" s="11" t="s">
        <v>105</v>
      </c>
      <c r="F6" s="17">
        <f t="shared" si="0"/>
        <v>0</v>
      </c>
      <c r="G6" s="11"/>
      <c r="H6" s="11"/>
    </row>
    <row r="7" spans="1:8" ht="44" customHeight="1">
      <c r="A7" s="1" t="s">
        <v>542</v>
      </c>
      <c r="B7" s="11" t="s">
        <v>543</v>
      </c>
      <c r="C7" s="11">
        <v>24</v>
      </c>
      <c r="D7" s="11" t="s">
        <v>544</v>
      </c>
      <c r="E7" s="11" t="s">
        <v>105</v>
      </c>
      <c r="F7" s="17">
        <f t="shared" si="0"/>
        <v>0</v>
      </c>
      <c r="G7" s="11"/>
      <c r="H7" s="11"/>
    </row>
    <row r="8" spans="1:8" ht="44" customHeight="1">
      <c r="A8" s="1" t="s">
        <v>542</v>
      </c>
      <c r="B8" s="11" t="s">
        <v>545</v>
      </c>
      <c r="C8" s="11">
        <v>24</v>
      </c>
      <c r="D8" s="11" t="s">
        <v>546</v>
      </c>
      <c r="E8" s="11" t="s">
        <v>105</v>
      </c>
      <c r="F8" s="17">
        <f t="shared" si="0"/>
        <v>0</v>
      </c>
      <c r="G8" s="11"/>
      <c r="H8" s="11"/>
    </row>
    <row r="9" spans="1:8" ht="44" customHeight="1">
      <c r="A9" s="1" t="s">
        <v>547</v>
      </c>
      <c r="B9" s="11" t="s">
        <v>548</v>
      </c>
      <c r="C9" s="11">
        <v>24</v>
      </c>
      <c r="D9" s="11" t="s">
        <v>549</v>
      </c>
      <c r="E9" s="11" t="s">
        <v>105</v>
      </c>
      <c r="F9" s="17">
        <f t="shared" si="0"/>
        <v>0</v>
      </c>
      <c r="G9" s="11"/>
      <c r="H9" s="11"/>
    </row>
    <row r="10" spans="1:8" ht="44" customHeight="1">
      <c r="A10" s="1" t="s">
        <v>550</v>
      </c>
      <c r="B10" s="11" t="s">
        <v>551</v>
      </c>
      <c r="C10" s="11">
        <v>24</v>
      </c>
      <c r="D10" s="11" t="s">
        <v>552</v>
      </c>
      <c r="E10" s="11" t="s">
        <v>105</v>
      </c>
      <c r="F10" s="17">
        <f t="shared" si="0"/>
        <v>0</v>
      </c>
      <c r="G10" s="11"/>
      <c r="H10" s="11"/>
    </row>
    <row r="11" spans="1:8" ht="44" customHeight="1">
      <c r="A11" s="1" t="s">
        <v>553</v>
      </c>
      <c r="B11" s="11" t="s">
        <v>554</v>
      </c>
      <c r="C11" s="11">
        <v>24</v>
      </c>
      <c r="D11" s="11" t="s">
        <v>555</v>
      </c>
      <c r="E11" s="11" t="s">
        <v>105</v>
      </c>
      <c r="F11" s="17">
        <f t="shared" si="0"/>
        <v>0</v>
      </c>
      <c r="G11" s="11"/>
      <c r="H11" s="11"/>
    </row>
    <row r="12" spans="1:8" ht="44" customHeight="1">
      <c r="A12" s="1" t="s">
        <v>556</v>
      </c>
      <c r="B12" s="11" t="s">
        <v>557</v>
      </c>
      <c r="C12" s="11">
        <v>24</v>
      </c>
      <c r="D12" s="11" t="s">
        <v>558</v>
      </c>
      <c r="E12" s="11" t="s">
        <v>105</v>
      </c>
      <c r="F12" s="17">
        <f t="shared" si="0"/>
        <v>0</v>
      </c>
      <c r="G12" s="11"/>
      <c r="H12" s="11"/>
    </row>
    <row r="13" spans="1:8" ht="44" customHeight="1">
      <c r="A13" s="1" t="s">
        <v>559</v>
      </c>
      <c r="B13" s="11" t="s">
        <v>420</v>
      </c>
      <c r="C13" s="11">
        <v>25</v>
      </c>
      <c r="D13" s="11" t="s">
        <v>560</v>
      </c>
      <c r="E13" s="11" t="s">
        <v>105</v>
      </c>
      <c r="F13" s="17">
        <f t="shared" si="0"/>
        <v>0</v>
      </c>
      <c r="G13" s="11"/>
      <c r="H13" s="11"/>
    </row>
    <row r="14" spans="1:8" ht="44" customHeight="1">
      <c r="A14" s="1" t="s">
        <v>559</v>
      </c>
      <c r="B14" s="11" t="s">
        <v>561</v>
      </c>
      <c r="C14" s="11">
        <v>25</v>
      </c>
      <c r="D14" s="11" t="s">
        <v>562</v>
      </c>
      <c r="E14" s="11" t="s">
        <v>105</v>
      </c>
      <c r="F14" s="17">
        <f t="shared" si="0"/>
        <v>0</v>
      </c>
      <c r="G14" s="11"/>
      <c r="H14" s="11"/>
    </row>
    <row r="15" spans="1:8" ht="44" customHeight="1">
      <c r="A15" s="1" t="s">
        <v>563</v>
      </c>
      <c r="B15" s="11" t="s">
        <v>564</v>
      </c>
      <c r="C15" s="11">
        <v>25</v>
      </c>
      <c r="D15" s="11" t="s">
        <v>565</v>
      </c>
      <c r="E15" s="11" t="s">
        <v>105</v>
      </c>
      <c r="F15" s="17">
        <f t="shared" si="0"/>
        <v>0</v>
      </c>
      <c r="G15" s="11"/>
      <c r="H15" s="11"/>
    </row>
    <row r="16" spans="1:8" ht="44" customHeight="1">
      <c r="A16" s="1" t="s">
        <v>563</v>
      </c>
      <c r="B16" s="11" t="s">
        <v>566</v>
      </c>
      <c r="C16" s="11">
        <v>25</v>
      </c>
      <c r="D16" s="11" t="s">
        <v>567</v>
      </c>
      <c r="E16" s="11" t="s">
        <v>105</v>
      </c>
      <c r="F16" s="17">
        <f t="shared" si="0"/>
        <v>0</v>
      </c>
      <c r="G16" s="11"/>
      <c r="H16" s="11"/>
    </row>
    <row r="17" spans="1:8" ht="44" customHeight="1">
      <c r="A17" s="1" t="s">
        <v>568</v>
      </c>
      <c r="B17" s="11" t="s">
        <v>468</v>
      </c>
      <c r="C17" s="11">
        <v>25</v>
      </c>
      <c r="D17" s="11" t="s">
        <v>569</v>
      </c>
      <c r="E17" s="11" t="s">
        <v>105</v>
      </c>
      <c r="F17" s="17">
        <f t="shared" si="0"/>
        <v>0</v>
      </c>
      <c r="G17" s="11"/>
      <c r="H17" s="11"/>
    </row>
    <row r="18" spans="1:8" ht="44" customHeight="1">
      <c r="A18" s="1" t="s">
        <v>568</v>
      </c>
      <c r="B18" s="11" t="s">
        <v>471</v>
      </c>
      <c r="C18" s="11">
        <v>25</v>
      </c>
      <c r="D18" s="11" t="s">
        <v>570</v>
      </c>
      <c r="E18" s="11" t="s">
        <v>105</v>
      </c>
      <c r="F18" s="17">
        <f t="shared" si="0"/>
        <v>0</v>
      </c>
      <c r="G18" s="11"/>
      <c r="H18" s="11"/>
    </row>
    <row r="19" spans="1:8" ht="44" customHeight="1">
      <c r="A19" s="1" t="s">
        <v>571</v>
      </c>
      <c r="B19" s="11" t="s">
        <v>572</v>
      </c>
      <c r="C19" s="11">
        <v>25</v>
      </c>
      <c r="D19" s="11" t="s">
        <v>573</v>
      </c>
      <c r="E19" s="11" t="s">
        <v>105</v>
      </c>
      <c r="F19" s="17">
        <f t="shared" si="0"/>
        <v>0</v>
      </c>
      <c r="G19" s="11"/>
      <c r="H19" s="11"/>
    </row>
    <row r="20" spans="1:8" ht="44" customHeight="1">
      <c r="A20" s="1" t="s">
        <v>568</v>
      </c>
      <c r="B20" s="11" t="s">
        <v>574</v>
      </c>
      <c r="C20" s="11">
        <v>25</v>
      </c>
      <c r="D20" s="11" t="s">
        <v>575</v>
      </c>
      <c r="E20" s="11" t="s">
        <v>105</v>
      </c>
      <c r="F20" s="17">
        <f t="shared" si="0"/>
        <v>0</v>
      </c>
      <c r="G20" s="11"/>
      <c r="H20" s="11"/>
    </row>
    <row r="21" spans="1:8" ht="44" customHeight="1">
      <c r="A21" s="1" t="s">
        <v>576</v>
      </c>
      <c r="B21" s="11" t="s">
        <v>577</v>
      </c>
      <c r="C21" s="11">
        <v>26</v>
      </c>
      <c r="D21" s="11" t="s">
        <v>578</v>
      </c>
      <c r="E21" s="11" t="s">
        <v>105</v>
      </c>
      <c r="F21" s="17">
        <f t="shared" si="0"/>
        <v>0</v>
      </c>
      <c r="G21" s="11"/>
      <c r="H21" s="11"/>
    </row>
    <row r="22" spans="1:8" ht="44" customHeight="1">
      <c r="A22" s="1" t="s">
        <v>579</v>
      </c>
      <c r="B22" s="11" t="s">
        <v>486</v>
      </c>
      <c r="C22" s="11">
        <v>26</v>
      </c>
      <c r="D22" s="11" t="s">
        <v>580</v>
      </c>
      <c r="E22" s="11" t="s">
        <v>105</v>
      </c>
      <c r="F22" s="17">
        <f t="shared" si="0"/>
        <v>0</v>
      </c>
      <c r="G22" s="11"/>
      <c r="H22" s="11"/>
    </row>
    <row r="23" spans="1:8" ht="44" customHeight="1">
      <c r="A23" s="1" t="s">
        <v>581</v>
      </c>
      <c r="B23" s="11" t="s">
        <v>582</v>
      </c>
      <c r="C23" s="11">
        <v>26</v>
      </c>
      <c r="D23" s="11" t="s">
        <v>583</v>
      </c>
      <c r="E23" s="11" t="s">
        <v>105</v>
      </c>
      <c r="F23" s="17">
        <f t="shared" si="0"/>
        <v>0</v>
      </c>
      <c r="G23" s="11"/>
      <c r="H23" s="11"/>
    </row>
    <row r="24" spans="1:8" ht="44" customHeight="1">
      <c r="A24" s="1" t="s">
        <v>584</v>
      </c>
      <c r="B24" s="11" t="s">
        <v>585</v>
      </c>
      <c r="C24" s="11">
        <v>26</v>
      </c>
      <c r="D24" s="11" t="s">
        <v>586</v>
      </c>
      <c r="E24" s="11" t="s">
        <v>105</v>
      </c>
      <c r="F24" s="17">
        <f t="shared" si="0"/>
        <v>0</v>
      </c>
      <c r="G24" s="11"/>
      <c r="H24" s="11"/>
    </row>
  </sheetData>
  <mergeCells count="2">
    <mergeCell ref="A1:H2"/>
    <mergeCell ref="A3:H3"/>
  </mergeCells>
  <conditionalFormatting sqref="E5:E24">
    <cfRule type="containsText" dxfId="9" priority="1" operator="containsText" text="Completed"/>
    <cfRule type="containsText" dxfId="8" priority="2" operator="containsText" text="In Progress"/>
    <cfRule type="containsText" dxfId="7" priority="8" operator="containsText" text="Partial"/>
    <cfRule type="containsText" dxfId="6" priority="4" operator="containsText" text="Blocked"/>
    <cfRule type="containsText" dxfId="5" priority="6" operator="containsText" text="Not Started"/>
  </conditionalFormatting>
  <conditionalFormatting sqref="F5:F24">
    <cfRule type="dataBar" priority="9">
      <dataBar>
        <cfvo type="min"/>
        <cfvo type="max"/>
        <color rgb="FF16A34A"/>
      </dataBar>
    </cfRule>
    <cfRule type="dataBar" priority="10">
      <dataBar>
        <cfvo type="min"/>
        <cfvo type="max"/>
        <color rgb="FF16A34A"/>
      </dataBar>
      <extLst>
        <ext xmlns:x14="http://schemas.microsoft.com/office/spreadsheetml/2009/9/main" uri="{B025F937-C7B1-47D3-B67F-A62EFF666E3E}">
          <x14:id>{2DFD8F1B-7333-1493-D4D0-0F1317C2837B}</x14:id>
        </ext>
      </extLst>
    </cfRule>
  </conditionalFormatting>
  <dataValidations count="1">
    <dataValidation type="list" sqref="E5:E24" xr:uid="{00000000-0002-0000-0500-000000000000}">
      <formula1>"Not Started,In Progress,Blocked,Completed"</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DFD8F1B-7333-1493-D4D0-0F1317C2837B}">
            <x14:dataBar>
              <x14:cfvo type="min"/>
              <x14:cfvo type="max"/>
              <x14:negativeFillColor auto="1"/>
              <x14:axisColor auto="1"/>
            </x14:dataBar>
          </x14:cfRule>
          <xm:sqref>F5:F24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2"/>
  <sheetViews>
    <sheetView showGridLines="0" workbookViewId="0">
      <selection sqref="A1:F2"/>
    </sheetView>
  </sheetViews>
  <sheetFormatPr baseColWidth="10" defaultColWidth="8.83203125" defaultRowHeight="15"/>
  <cols>
    <col min="1" max="1" width="29" customWidth="1"/>
    <col min="2" max="2" width="57" customWidth="1"/>
    <col min="3" max="3" width="45" customWidth="1"/>
    <col min="4" max="6" width="3" customWidth="1"/>
  </cols>
  <sheetData>
    <row r="1" spans="1:6" ht="30" customHeight="1">
      <c r="A1" s="31" t="s">
        <v>587</v>
      </c>
      <c r="B1" s="31" t="s">
        <v>587</v>
      </c>
      <c r="C1" s="31" t="s">
        <v>587</v>
      </c>
      <c r="D1" s="31" t="s">
        <v>587</v>
      </c>
      <c r="E1" s="31" t="s">
        <v>587</v>
      </c>
      <c r="F1" s="31" t="s">
        <v>587</v>
      </c>
    </row>
    <row r="2" spans="1:6" ht="30" customHeight="1">
      <c r="A2" s="31" t="s">
        <v>587</v>
      </c>
      <c r="B2" s="31" t="s">
        <v>587</v>
      </c>
      <c r="C2" s="31" t="s">
        <v>587</v>
      </c>
      <c r="D2" s="31" t="s">
        <v>587</v>
      </c>
      <c r="E2" s="31" t="s">
        <v>587</v>
      </c>
      <c r="F2" s="31" t="s">
        <v>587</v>
      </c>
    </row>
    <row r="3" spans="1:6" ht="22" customHeight="1">
      <c r="A3" s="32" t="s">
        <v>588</v>
      </c>
      <c r="B3" s="32" t="s">
        <v>588</v>
      </c>
      <c r="C3" s="32" t="s">
        <v>588</v>
      </c>
      <c r="D3" s="32" t="s">
        <v>588</v>
      </c>
      <c r="E3" s="32" t="s">
        <v>588</v>
      </c>
      <c r="F3" s="32" t="s">
        <v>588</v>
      </c>
    </row>
    <row r="4" spans="1:6">
      <c r="A4" s="18"/>
      <c r="B4" s="18"/>
      <c r="C4" s="18"/>
      <c r="D4" s="18"/>
      <c r="E4" s="18"/>
      <c r="F4" s="18"/>
    </row>
    <row r="5" spans="1:6">
      <c r="A5" s="2" t="s">
        <v>589</v>
      </c>
      <c r="B5" s="3" t="s">
        <v>590</v>
      </c>
      <c r="C5" s="4" t="s">
        <v>591</v>
      </c>
      <c r="D5" s="18"/>
      <c r="E5" s="18"/>
      <c r="F5" s="18"/>
    </row>
    <row r="6" spans="1:6">
      <c r="A6" s="19" t="s">
        <v>592</v>
      </c>
      <c r="B6" s="20">
        <v>46223</v>
      </c>
      <c r="C6" s="19" t="s">
        <v>593</v>
      </c>
      <c r="D6" s="18"/>
      <c r="E6" s="18"/>
      <c r="F6" s="18"/>
    </row>
    <row r="7" spans="1:6">
      <c r="A7" s="19" t="s">
        <v>594</v>
      </c>
      <c r="B7" s="21">
        <v>8</v>
      </c>
      <c r="C7" s="19" t="s">
        <v>595</v>
      </c>
      <c r="D7" s="18"/>
      <c r="E7" s="18"/>
      <c r="F7" s="18"/>
    </row>
    <row r="8" spans="1:6">
      <c r="A8" s="22" t="s">
        <v>596</v>
      </c>
      <c r="B8" s="23">
        <v>26</v>
      </c>
      <c r="C8" s="22" t="s">
        <v>597</v>
      </c>
      <c r="D8" s="18"/>
      <c r="E8" s="18"/>
      <c r="F8" s="18"/>
    </row>
    <row r="9" spans="1:6">
      <c r="A9" s="19"/>
      <c r="B9" s="19"/>
      <c r="C9" s="19"/>
      <c r="D9" s="18"/>
      <c r="E9" s="18"/>
      <c r="F9" s="18"/>
    </row>
    <row r="10" spans="1:6">
      <c r="A10" s="2" t="s">
        <v>36</v>
      </c>
      <c r="B10" s="3" t="s">
        <v>598</v>
      </c>
      <c r="C10" s="4" t="s">
        <v>599</v>
      </c>
      <c r="D10" s="18"/>
      <c r="E10" s="18"/>
      <c r="F10" s="18"/>
    </row>
    <row r="11" spans="1:6">
      <c r="A11" s="19" t="s">
        <v>105</v>
      </c>
      <c r="B11" s="24">
        <v>0</v>
      </c>
      <c r="C11" s="19" t="s">
        <v>600</v>
      </c>
      <c r="D11" s="18"/>
      <c r="E11" s="18"/>
      <c r="F11" s="18"/>
    </row>
    <row r="12" spans="1:6">
      <c r="A12" s="19" t="s">
        <v>601</v>
      </c>
      <c r="B12" s="24">
        <v>0.5</v>
      </c>
      <c r="C12" s="19" t="s">
        <v>602</v>
      </c>
      <c r="D12" s="18"/>
      <c r="E12" s="18"/>
      <c r="F12" s="18"/>
    </row>
    <row r="13" spans="1:6">
      <c r="A13" s="19" t="s">
        <v>603</v>
      </c>
      <c r="B13" s="24">
        <v>0.25</v>
      </c>
      <c r="C13" s="19" t="s">
        <v>604</v>
      </c>
      <c r="D13" s="18"/>
      <c r="E13" s="18"/>
      <c r="F13" s="18"/>
    </row>
    <row r="14" spans="1:6">
      <c r="A14" s="19" t="s">
        <v>605</v>
      </c>
      <c r="B14" s="24">
        <v>1</v>
      </c>
      <c r="C14" s="19" t="s">
        <v>606</v>
      </c>
      <c r="D14" s="18"/>
      <c r="E14" s="18"/>
      <c r="F14" s="18"/>
    </row>
    <row r="15" spans="1:6">
      <c r="A15" s="19"/>
      <c r="B15" s="19"/>
      <c r="C15" s="19"/>
      <c r="D15" s="18"/>
      <c r="E15" s="18"/>
      <c r="F15" s="18"/>
    </row>
    <row r="16" spans="1:6">
      <c r="A16" s="2" t="s">
        <v>607</v>
      </c>
      <c r="B16" s="3" t="s">
        <v>608</v>
      </c>
      <c r="C16" s="4" t="s">
        <v>609</v>
      </c>
      <c r="D16" s="18"/>
      <c r="E16" s="18"/>
      <c r="F16" s="18"/>
    </row>
    <row r="17" spans="1:6">
      <c r="A17" s="19" t="s">
        <v>610</v>
      </c>
      <c r="B17" s="19" t="s">
        <v>611</v>
      </c>
      <c r="C17" s="19" t="s">
        <v>612</v>
      </c>
      <c r="D17" s="18"/>
      <c r="E17" s="18"/>
      <c r="F17" s="18"/>
    </row>
    <row r="18" spans="1:6">
      <c r="A18" s="19" t="s">
        <v>613</v>
      </c>
      <c r="B18" s="19" t="s">
        <v>614</v>
      </c>
      <c r="C18" s="19" t="s">
        <v>615</v>
      </c>
      <c r="D18" s="18"/>
      <c r="E18" s="18"/>
      <c r="F18" s="18"/>
    </row>
    <row r="19" spans="1:6">
      <c r="A19" s="19" t="s">
        <v>616</v>
      </c>
      <c r="B19" s="19" t="s">
        <v>617</v>
      </c>
      <c r="C19" s="19" t="s">
        <v>618</v>
      </c>
      <c r="D19" s="18"/>
      <c r="E19" s="18"/>
      <c r="F19" s="18"/>
    </row>
    <row r="20" spans="1:6">
      <c r="A20" s="19" t="s">
        <v>619</v>
      </c>
      <c r="B20" s="19" t="s">
        <v>620</v>
      </c>
      <c r="C20" s="19" t="s">
        <v>621</v>
      </c>
      <c r="D20" s="18"/>
      <c r="E20" s="18"/>
      <c r="F20" s="18"/>
    </row>
    <row r="21" spans="1:6">
      <c r="A21" s="19" t="s">
        <v>622</v>
      </c>
      <c r="B21" s="19" t="s">
        <v>623</v>
      </c>
      <c r="C21" s="19" t="s">
        <v>624</v>
      </c>
      <c r="D21" s="18"/>
      <c r="E21" s="18"/>
      <c r="F21" s="18"/>
    </row>
    <row r="22" spans="1:6">
      <c r="A22" s="22" t="s">
        <v>625</v>
      </c>
      <c r="B22" s="22" t="s">
        <v>626</v>
      </c>
      <c r="C22" s="22" t="s">
        <v>627</v>
      </c>
      <c r="D22" s="18"/>
      <c r="E22" s="18"/>
      <c r="F22" s="18"/>
    </row>
  </sheetData>
  <mergeCells count="2">
    <mergeCell ref="A1:F2"/>
    <mergeCell ref="A3:F3"/>
  </mergeCells>
  <conditionalFormatting sqref="A11:A14">
    <cfRule type="containsText" dxfId="4" priority="1" operator="containsText" text="Completed"/>
    <cfRule type="containsText" dxfId="3" priority="2" operator="containsText" text="In Progress"/>
    <cfRule type="containsText" dxfId="2" priority="6" operator="containsText" text="Not Started"/>
    <cfRule type="containsText" dxfId="1" priority="4" operator="containsText" text="Blocked"/>
    <cfRule type="containsText" dxfId="0" priority="8" operator="containsText" text="Partial"/>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Weekly Tracker</vt:lpstr>
      <vt:lpstr>Topic Checklist</vt:lpstr>
      <vt:lpstr>Practice Log</vt:lpstr>
      <vt:lpstr>Milestones</vt:lpstr>
      <vt:lpstr>Capstone</vt:lpstr>
      <vt:lpstr>Setup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2026-07-18T19:38:36Z</dcterms:modified>
</cp:coreProperties>
</file>