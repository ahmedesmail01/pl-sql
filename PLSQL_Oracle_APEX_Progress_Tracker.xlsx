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drawings/charts/chart2.xml" ContentType="application/vnd.openxmlformats-officedocument.drawingml.char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3ce3f4a1edeb4c90" /></Relationships>
</file>

<file path=xl/workbook.xml><?xml version="1.0" encoding="utf-8"?>
<x:workbook xmlns:x="http://schemas.openxmlformats.org/spreadsheetml/2006/main">
  <x:sheets>
    <x:sheet xmlns:r="http://schemas.openxmlformats.org/officeDocument/2006/relationships" name="Dashboard" sheetId="1" r:id="R264a2f3c1a0d49be"/>
    <x:sheet xmlns:r="http://schemas.openxmlformats.org/officeDocument/2006/relationships" name="Weekly Tracker" sheetId="2" r:id="Rcd3a5b6a7a0a4004"/>
    <x:sheet xmlns:r="http://schemas.openxmlformats.org/officeDocument/2006/relationships" name="Topic Checklist" sheetId="3" r:id="R279b161fe3584199"/>
    <x:sheet xmlns:r="http://schemas.openxmlformats.org/officeDocument/2006/relationships" name="Practice Log" sheetId="4" r:id="R1d7a602718404d31"/>
    <x:sheet xmlns:r="http://schemas.openxmlformats.org/officeDocument/2006/relationships" name="Milestones" sheetId="5" r:id="Ref85b4b32c3d47e8"/>
    <x:sheet xmlns:r="http://schemas.openxmlformats.org/officeDocument/2006/relationships" name="Capstone" sheetId="6" r:id="R80f41b8011c2471b"/>
    <x:sheet xmlns:r="http://schemas.openxmlformats.org/officeDocument/2006/relationships" name="Setup" sheetId="7" r:id="Ra2a0f04b170b4558"/>
  </x:sheets>
</x:workbook>
</file>

<file path=xl/sharedStrings.xml><?xml version="1.0" encoding="utf-8"?>
<x:sst xmlns:x="http://schemas.openxmlformats.org/spreadsheetml/2006/main"/>
</file>

<file path=xl/styles.xml><?xml version="1.0" encoding="utf-8"?>
<x:styleSheet xmlns:x="http://schemas.openxmlformats.org/spreadsheetml/2006/main">
  <x:numFmts count="6">
    <x:numFmt numFmtId="200" formatCode="yyyy-mm-dd"/>
    <x:numFmt numFmtId="201" formatCode="0"/>
    <x:numFmt numFmtId="202" formatCode="0%"/>
    <x:numFmt numFmtId="203" formatCode="0.0"/>
    <x:numFmt numFmtId="204" formatCode="0.0;[Red]-0.0"/>
    <x:numFmt numFmtId="205" formatCode="0.00"/>
  </x:numFmts>
  <x:fonts count="24">
    <x:font>
      <x:sz val="11"/>
      <x:name val="Carlito"/>
    </x:font>
    <x:font>
      <x:b/>
      <x:sz val="20"/>
      <x:color rgb="FFFFFFFF"/>
      <x:name val="Carlito"/>
    </x:font>
    <x:font>
      <x:i/>
      <x:sz val="10"/>
      <x:color rgb="FF64748B"/>
      <x:name val="Carlito"/>
    </x:font>
    <x:font>
      <x:b/>
      <x:sz val="11"/>
      <x:color rgb="FFFFFFFF"/>
      <x:name val="Carlito"/>
    </x:font>
    <x:font>
      <x:b/>
      <x:sz val="11"/>
      <x:color rgb="FF1D4ED8"/>
      <x:name val="Carlito"/>
    </x:font>
    <x:font>
      <x:sz val="11"/>
      <x:color rgb="FF2563EB"/>
      <x:name val="Carlito"/>
    </x:font>
    <x:font>
      <x:b/>
      <x:sz val="22"/>
      <x:color rgb="FFC74634"/>
      <x:name val="Carlito"/>
    </x:font>
    <x:font>
      <x:b/>
      <x:sz val="22"/>
      <x:color rgb="FF16A34A"/>
      <x:name val="Carlito"/>
    </x:font>
    <x:font>
      <x:b/>
      <x:sz val="22"/>
      <x:color rgb="FF2563EB"/>
      <x:name val="Carlito"/>
    </x:font>
    <x:font>
      <x:b/>
      <x:sz val="22"/>
      <x:color rgb="FFD97706"/>
      <x:name val="Carlito"/>
    </x:font>
    <x:font>
      <x:b/>
      <x:sz val="11"/>
      <x:color rgb="FF172033"/>
      <x:name val="Carlito"/>
    </x:font>
    <x:font>
      <x:sz val="11"/>
      <x:color rgb="FF172033"/>
      <x:name val="Carlito"/>
    </x:font>
    <x:font>
      <x:b/>
      <x:sz val="13"/>
      <x:color rgb="FFC74634"/>
      <x:name val="Carlito"/>
    </x:font>
    <x:font>
      <x:b/>
      <x:sz val="10"/>
      <x:color rgb="FF172033"/>
      <x:name val="Aptos"/>
    </x:font>
    <x:font>
      <x:i/>
      <x:sz val="10"/>
      <x:color rgb="FF172033"/>
      <x:name val="Aptos"/>
    </x:font>
    <x:font>
      <x:sz val="10"/>
      <x:color rgb="FF172033"/>
      <x:name val="Aptos"/>
    </x:font>
    <x:font>
      <x:b/>
      <x:sz val="20"/>
      <x:color rgb="FFFFFFFF"/>
      <x:name val="Aptos"/>
    </x:font>
    <x:font>
      <x:b/>
      <x:sz val="10"/>
      <x:color rgb="FFFFFFFF"/>
      <x:name val="Aptos"/>
    </x:font>
    <x:font>
      <x:b/>
      <x:sz val="11"/>
      <x:color rgb="FFFFFFFF"/>
      <x:name val="Aptos"/>
    </x:font>
    <x:font>
      <x:b/>
      <x:sz val="22"/>
      <x:color rgb="FFC74634"/>
      <x:name val="Aptos"/>
    </x:font>
    <x:font>
      <x:b/>
      <x:sz val="22"/>
      <x:color rgb="FF16A34A"/>
      <x:name val="Aptos"/>
    </x:font>
    <x:font>
      <x:b/>
      <x:sz val="22"/>
      <x:color rgb="FF2563EB"/>
      <x:name val="Aptos"/>
    </x:font>
    <x:font>
      <x:b/>
      <x:sz val="22"/>
      <x:color rgb="FFD97706"/>
      <x:name val="Aptos"/>
    </x:font>
    <x:font>
      <x:b/>
      <x:sz val="13"/>
      <x:color rgb="FFC74634"/>
      <x:name val="Aptos"/>
    </x:font>
  </x:fonts>
  <x:fills count="11">
    <x:fill>
      <x:patternFill patternType="none"/>
    </x:fill>
    <x:fill>
      <x:patternFill patternType="gray125"/>
    </x:fill>
    <x:fill>
      <x:patternFill patternType="solid">
        <x:fgColor rgb="FF172033"/>
      </x:patternFill>
    </x:fill>
    <x:fill>
      <x:patternFill patternType="solid">
        <x:fgColor rgb="FFF1F5F9"/>
      </x:patternFill>
    </x:fill>
    <x:fill>
      <x:patternFill patternType="solid">
        <x:fgColor rgb="FF24324A"/>
      </x:patternFill>
    </x:fill>
    <x:fill>
      <x:patternFill patternType="solid">
        <x:fgColor rgb="FFDBEAFE"/>
      </x:patternFill>
    </x:fill>
    <x:fill>
      <x:patternFill patternType="solid">
        <x:fgColor rgb="FFC74634"/>
      </x:patternFill>
    </x:fill>
    <x:fill>
      <x:patternFill patternType="solid">
        <x:fgColor rgb="FFFFFFFF"/>
      </x:patternFill>
    </x:fill>
    <x:fill>
      <x:patternFill patternType="solid">
        <x:fgColor rgb="FF16A34A"/>
      </x:patternFill>
    </x:fill>
    <x:fill>
      <x:patternFill patternType="solid">
        <x:fgColor rgb="FF2563EB"/>
      </x:patternFill>
    </x:fill>
    <x:fill>
      <x:patternFill patternType="solid">
        <x:fgColor rgb="FFD97706"/>
      </x:patternFill>
    </x:fill>
  </x:fills>
  <x:borders count="48">
    <x:border/>
    <x:border>
      <x:left style="thin">
        <x:color rgb="FFD7DEE8"/>
      </x:left>
      <x:top style="thin">
        <x:color rgb="FFD7DEE8"/>
      </x:top>
      <x:bottom style="thin">
        <x:color rgb="FFD7DEE8"/>
      </x:bottom>
    </x:border>
    <x:border>
      <x:top style="thin">
        <x:color rgb="FFD7DEE8"/>
      </x:top>
      <x:bottom style="thin">
        <x:color rgb="FFD7DEE8"/>
      </x:bottom>
    </x:border>
    <x:border>
      <x:right style="thin">
        <x:color rgb="FFD7DEE8"/>
      </x:right>
      <x:top style="thin">
        <x:color rgb="FFD7DEE8"/>
      </x:top>
      <x:bottom style="thin">
        <x:color rgb="FFD7DEE8"/>
      </x:bottom>
    </x:border>
    <x:border>
      <x:bottom style="thin">
        <x:color rgb="FFD7DEE8"/>
      </x:bottom>
    </x:border>
    <x:border>
      <x:left style="thin">
        <x:color rgb="FFC74634"/>
      </x:left>
      <x:top style="thin">
        <x:color rgb="FFC74634"/>
      </x:top>
      <x:bottom style="thin">
        <x:color rgb="FFC74634"/>
      </x:bottom>
    </x:border>
    <x:border>
      <x:top style="thin">
        <x:color rgb="FFC74634"/>
      </x:top>
      <x:bottom style="thin">
        <x:color rgb="FFC74634"/>
      </x:bottom>
    </x:border>
    <x:border>
      <x:right style="thin">
        <x:color rgb="FFC74634"/>
      </x:right>
      <x:top style="thin">
        <x:color rgb="FFC74634"/>
      </x:top>
      <x:bottom style="thin">
        <x:color rgb="FFC74634"/>
      </x:bottom>
    </x:border>
    <x:border>
      <x:left style="medium">
        <x:color rgb="FFC74634"/>
      </x:left>
      <x:top style="medium">
        <x:color rgb="FFC74634"/>
      </x:top>
    </x:border>
    <x:border>
      <x:top style="medium">
        <x:color rgb="FFC74634"/>
      </x:top>
    </x:border>
    <x:border>
      <x:right style="medium">
        <x:color rgb="FFC74634"/>
      </x:right>
      <x:top style="medium">
        <x:color rgb="FFC74634"/>
      </x:top>
    </x:border>
    <x:border>
      <x:left style="medium">
        <x:color rgb="FFC74634"/>
      </x:left>
      <x:bottom style="medium">
        <x:color rgb="FFC74634"/>
      </x:bottom>
    </x:border>
    <x:border>
      <x:bottom style="medium">
        <x:color rgb="FFC74634"/>
      </x:bottom>
    </x:border>
    <x:border>
      <x:right style="medium">
        <x:color rgb="FFC74634"/>
      </x:right>
      <x:bottom style="medium">
        <x:color rgb="FFC74634"/>
      </x:bottom>
    </x:border>
    <x:border>
      <x:left style="thin">
        <x:color rgb="FF16A34A"/>
      </x:left>
      <x:top style="thin">
        <x:color rgb="FF16A34A"/>
      </x:top>
      <x:bottom style="thin">
        <x:color rgb="FF16A34A"/>
      </x:bottom>
    </x:border>
    <x:border>
      <x:top style="thin">
        <x:color rgb="FF16A34A"/>
      </x:top>
      <x:bottom style="thin">
        <x:color rgb="FF16A34A"/>
      </x:bottom>
    </x:border>
    <x:border>
      <x:right style="thin">
        <x:color rgb="FF16A34A"/>
      </x:right>
      <x:top style="thin">
        <x:color rgb="FF16A34A"/>
      </x:top>
      <x:bottom style="thin">
        <x:color rgb="FF16A34A"/>
      </x:bottom>
    </x:border>
    <x:border>
      <x:left style="medium">
        <x:color rgb="FF16A34A"/>
      </x:left>
      <x:top style="medium">
        <x:color rgb="FF16A34A"/>
      </x:top>
    </x:border>
    <x:border>
      <x:top style="medium">
        <x:color rgb="FF16A34A"/>
      </x:top>
    </x:border>
    <x:border>
      <x:right style="medium">
        <x:color rgb="FF16A34A"/>
      </x:right>
      <x:top style="medium">
        <x:color rgb="FF16A34A"/>
      </x:top>
    </x:border>
    <x:border>
      <x:left style="medium">
        <x:color rgb="FF16A34A"/>
      </x:left>
      <x:bottom style="medium">
        <x:color rgb="FF16A34A"/>
      </x:bottom>
    </x:border>
    <x:border>
      <x:bottom style="medium">
        <x:color rgb="FF16A34A"/>
      </x:bottom>
    </x:border>
    <x:border>
      <x:right style="medium">
        <x:color rgb="FF16A34A"/>
      </x:right>
      <x:bottom style="medium">
        <x:color rgb="FF16A34A"/>
      </x:bottom>
    </x:border>
    <x:border>
      <x:left style="thin">
        <x:color rgb="FF2563EB"/>
      </x:left>
      <x:top style="thin">
        <x:color rgb="FF2563EB"/>
      </x:top>
      <x:bottom style="thin">
        <x:color rgb="FF2563EB"/>
      </x:bottom>
    </x:border>
    <x:border>
      <x:top style="thin">
        <x:color rgb="FF2563EB"/>
      </x:top>
      <x:bottom style="thin">
        <x:color rgb="FF2563EB"/>
      </x:bottom>
    </x:border>
    <x:border>
      <x:right style="thin">
        <x:color rgb="FF2563EB"/>
      </x:right>
      <x:top style="thin">
        <x:color rgb="FF2563EB"/>
      </x:top>
      <x:bottom style="thin">
        <x:color rgb="FF2563EB"/>
      </x:bottom>
    </x:border>
    <x:border>
      <x:left style="medium">
        <x:color rgb="FF2563EB"/>
      </x:left>
      <x:top style="medium">
        <x:color rgb="FF2563EB"/>
      </x:top>
    </x:border>
    <x:border>
      <x:top style="medium">
        <x:color rgb="FF2563EB"/>
      </x:top>
    </x:border>
    <x:border>
      <x:right style="medium">
        <x:color rgb="FF2563EB"/>
      </x:right>
      <x:top style="medium">
        <x:color rgb="FF2563EB"/>
      </x:top>
    </x:border>
    <x:border>
      <x:left style="medium">
        <x:color rgb="FF2563EB"/>
      </x:left>
      <x:bottom style="medium">
        <x:color rgb="FF2563EB"/>
      </x:bottom>
    </x:border>
    <x:border>
      <x:bottom style="medium">
        <x:color rgb="FF2563EB"/>
      </x:bottom>
    </x:border>
    <x:border>
      <x:right style="medium">
        <x:color rgb="FF2563EB"/>
      </x:right>
      <x:bottom style="medium">
        <x:color rgb="FF2563EB"/>
      </x:bottom>
    </x:border>
    <x:border>
      <x:left style="thin">
        <x:color rgb="FFD97706"/>
      </x:left>
      <x:top style="thin">
        <x:color rgb="FFD97706"/>
      </x:top>
      <x:bottom style="thin">
        <x:color rgb="FFD97706"/>
      </x:bottom>
    </x:border>
    <x:border>
      <x:top style="thin">
        <x:color rgb="FFD97706"/>
      </x:top>
      <x:bottom style="thin">
        <x:color rgb="FFD97706"/>
      </x:bottom>
    </x:border>
    <x:border>
      <x:right style="thin">
        <x:color rgb="FFD97706"/>
      </x:right>
      <x:top style="thin">
        <x:color rgb="FFD97706"/>
      </x:top>
      <x:bottom style="thin">
        <x:color rgb="FFD97706"/>
      </x:bottom>
    </x:border>
    <x:border>
      <x:left style="medium">
        <x:color rgb="FFD97706"/>
      </x:left>
      <x:top style="medium">
        <x:color rgb="FFD97706"/>
      </x:top>
    </x:border>
    <x:border>
      <x:top style="medium">
        <x:color rgb="FFD97706"/>
      </x:top>
    </x:border>
    <x:border>
      <x:right style="medium">
        <x:color rgb="FFD97706"/>
      </x:right>
      <x:top style="medium">
        <x:color rgb="FFD97706"/>
      </x:top>
    </x:border>
    <x:border>
      <x:left style="medium">
        <x:color rgb="FFD97706"/>
      </x:left>
      <x:bottom style="medium">
        <x:color rgb="FFD97706"/>
      </x:bottom>
    </x:border>
    <x:border>
      <x:bottom style="medium">
        <x:color rgb="FFD97706"/>
      </x:bottom>
    </x:border>
    <x:border>
      <x:right style="medium">
        <x:color rgb="FFD97706"/>
      </x:right>
      <x:bottom style="medium">
        <x:color rgb="FFD97706"/>
      </x:bottom>
    </x:border>
    <x:border>
      <x:left style="thin">
        <x:color rgb="FFD7DEE8"/>
      </x:left>
      <x:top style="thin">
        <x:color rgb="FFD7DEE8"/>
      </x:top>
    </x:border>
    <x:border>
      <x:top style="thin">
        <x:color rgb="FFD7DEE8"/>
      </x:top>
    </x:border>
    <x:border>
      <x:right style="thin">
        <x:color rgb="FFD7DEE8"/>
      </x:right>
      <x:top style="thin">
        <x:color rgb="FFD7DEE8"/>
      </x:top>
    </x:border>
    <x:border>
      <x:left style="thin">
        <x:color rgb="FFD7DEE8"/>
      </x:left>
    </x:border>
    <x:border>
      <x:right style="thin">
        <x:color rgb="FFD7DEE8"/>
      </x:right>
    </x:border>
    <x:border>
      <x:left style="thin">
        <x:color rgb="FFD7DEE8"/>
      </x:left>
      <x:bottom style="thin">
        <x:color rgb="FFD7DEE8"/>
      </x:bottom>
    </x:border>
    <x:border>
      <x:right style="thin">
        <x:color rgb="FFD7DEE8"/>
      </x:right>
      <x:bottom style="thin">
        <x:color rgb="FFD7DEE8"/>
      </x:bottom>
    </x:border>
  </x:borders>
  <x:cellStyleXfs count="1">
    <x:xf numFmtId="0" fontId="0" fillId="0" borderId="0"/>
  </x:cellStyleXfs>
  <x:cellXfs count="404">
    <x:xf numFmtId="0" fontId="0" fillId="0" borderId="0" xfId="0"/>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horizontal="left"/>
    </x:xf>
    <x:xf numFmtId="0" fontId="1" fillId="2" borderId="0" xfId="0" applyNumberFormat="1" applyFont="1" applyFill="1" applyBorder="1" applyAlignment="1">
      <x:alignment horizontal="left" vertical="center"/>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horizontal="left"/>
    </x:xf>
    <x:xf numFmtId="0" fontId="2" fillId="3" borderId="0" xfId="0" applyNumberFormat="1" applyFont="1" applyFill="1" applyBorder="1" applyAlignment="1">
      <x:alignment horizontal="left" vertical="center"/>
    </x:xf>
    <x:xf numFmtId="0" fontId="0" fillId="4" borderId="0" xfId="0" applyNumberFormat="1" applyFont="1" applyFill="1" applyBorder="1"/>
    <x:xf numFmtId="0" fontId="3" fillId="4" borderId="0" xfId="0" applyNumberFormat="1" applyFont="1" applyFill="1" applyBorder="1"/>
    <x:xf numFmtId="0" fontId="3" fillId="4" borderId="1" xfId="0" applyNumberFormat="1" applyFont="1" applyFill="1" applyBorder="1"/>
    <x:xf numFmtId="0" fontId="3" fillId="4" borderId="2" xfId="0" applyNumberFormat="1" applyFont="1" applyFill="1" applyBorder="1"/>
    <x:xf numFmtId="0" fontId="3" fillId="4" borderId="3" xfId="0" applyNumberFormat="1" applyFont="1" applyFill="1" applyBorder="1"/>
    <x:xf numFmtId="0" fontId="3" fillId="4" borderId="1" xfId="0" applyNumberFormat="1" applyFont="1" applyFill="1" applyBorder="1" applyAlignment="1">
      <x:alignment wrapText="1"/>
    </x:xf>
    <x:xf numFmtId="0" fontId="3" fillId="4" borderId="2" xfId="0" applyNumberFormat="1" applyFont="1" applyFill="1" applyBorder="1" applyAlignment="1">
      <x:alignment wrapText="1"/>
    </x:xf>
    <x:xf numFmtId="0" fontId="3" fillId="4" borderId="3" xfId="0" applyNumberFormat="1" applyFont="1" applyFill="1" applyBorder="1" applyAlignment="1">
      <x:alignment wrapText="1"/>
    </x:xf>
    <x:xf numFmtId="0" fontId="3" fillId="4" borderId="1" xfId="0" applyNumberFormat="1" applyFont="1" applyFill="1" applyBorder="1" applyAlignment="1">
      <x:alignment horizontal="center" wrapText="1"/>
    </x:xf>
    <x:xf numFmtId="0" fontId="3" fillId="4" borderId="2" xfId="0" applyNumberFormat="1" applyFont="1" applyFill="1" applyBorder="1" applyAlignment="1">
      <x:alignment horizontal="center" wrapText="1"/>
    </x:xf>
    <x:xf numFmtId="0" fontId="3" fillId="4" borderId="3" xfId="0" applyNumberFormat="1" applyFont="1" applyFill="1" applyBorder="1" applyAlignment="1">
      <x:alignment horizontal="center" wrapText="1"/>
    </x:xf>
    <x:xf numFmtId="0" fontId="3" fillId="4" borderId="1" xfId="0" applyNumberFormat="1" applyFont="1" applyFill="1" applyBorder="1" applyAlignment="1">
      <x:alignment horizontal="center" vertical="center" wrapText="1"/>
    </x:xf>
    <x:xf numFmtId="0" fontId="3" fillId="4" borderId="2" xfId="0" applyNumberFormat="1" applyFont="1" applyFill="1" applyBorder="1" applyAlignment="1">
      <x:alignment horizontal="center" vertical="center" wrapText="1"/>
    </x:xf>
    <x:xf numFmtId="0" fontId="3" fillId="4" borderId="3" xfId="0" applyNumberFormat="1" applyFont="1" applyFill="1" applyBorder="1" applyAlignment="1">
      <x:alignment horizontal="center" vertical="center" wrapText="1"/>
    </x:xf>
    <x:xf numFmtId="0" fontId="0" fillId="5" borderId="0" xfId="0" applyNumberFormat="1" applyFont="1" applyFill="1" applyBorder="1"/>
    <x:xf numFmtId="0" fontId="4" fillId="5" borderId="0" xfId="0" applyNumberFormat="1" applyFont="1" applyFill="1" applyBorder="1"/>
    <x:xf numFmtId="200" fontId="4" fillId="5" borderId="0" xfId="0" applyNumberFormat="1" applyFont="1" applyFill="1" applyBorder="1"/>
    <x:xf numFmtId="201" fontId="4" fillId="5" borderId="0" xfId="0" applyNumberFormat="1" applyFont="1" applyFill="1" applyBorder="1"/>
    <x:xf numFmtId="0" fontId="0" fillId="0" borderId="0" xfId="0" applyNumberFormat="1" applyFont="1" applyFill="1" applyBorder="1"/>
    <x:xf numFmtId="0" fontId="0" fillId="0" borderId="4" xfId="0" applyNumberFormat="1" applyFont="1" applyFill="1" applyBorder="1"/>
    <x:xf numFmtId="201" fontId="4" fillId="5" borderId="4" xfId="0" applyNumberFormat="1" applyFont="1" applyFill="1" applyBorder="1"/>
    <x:xf numFmtId="202" fontId="0" fillId="0" borderId="0" xfId="0" applyNumberFormat="1" applyFont="1" applyFill="1" applyBorder="1"/>
    <x:xf numFmtId="0" fontId="5" fillId="0" borderId="0" xfId="0" applyNumberFormat="1" applyFont="1" applyFill="1" applyBorder="1"/>
    <x:xf numFmtId="0" fontId="5" fillId="0" borderId="4" xfId="0" applyNumberFormat="1" applyFont="1" applyFill="1" applyBorder="1"/>
    <x:xf numFmtId="0" fontId="0" fillId="0" borderId="0" xfId="0" applyNumberFormat="1" applyFont="1" applyFill="1" applyBorder="1" applyAlignment="1">
      <x:alignment vertical="center"/>
    </x:xf>
    <x:xf numFmtId="200" fontId="4" fillId="5" borderId="0" xfId="0" applyNumberFormat="1" applyFont="1" applyFill="1" applyBorder="1" applyAlignment="1">
      <x:alignment vertical="center"/>
    </x:xf>
    <x:xf numFmtId="201" fontId="4" fillId="5" borderId="0" xfId="0" applyNumberFormat="1" applyFont="1" applyFill="1" applyBorder="1" applyAlignment="1">
      <x:alignment vertical="center"/>
    </x:xf>
    <x:xf numFmtId="0" fontId="0" fillId="0" borderId="4" xfId="0" applyNumberFormat="1" applyFont="1" applyFill="1" applyBorder="1" applyAlignment="1">
      <x:alignment vertical="center"/>
    </x:xf>
    <x:xf numFmtId="201" fontId="4" fillId="5" borderId="4" xfId="0" applyNumberFormat="1" applyFont="1" applyFill="1" applyBorder="1" applyAlignment="1">
      <x:alignment vertical="center"/>
    </x:xf>
    <x:xf numFmtId="202" fontId="0" fillId="0" borderId="0" xfId="0" applyNumberFormat="1" applyFont="1" applyFill="1" applyBorder="1" applyAlignment="1">
      <x:alignment vertical="center"/>
    </x:xf>
    <x:xf numFmtId="0" fontId="5" fillId="0" borderId="0" xfId="0" applyNumberFormat="1" applyFont="1" applyFill="1" applyBorder="1" applyAlignment="1">
      <x:alignment vertical="center"/>
    </x:xf>
    <x:xf numFmtId="0" fontId="5" fillId="0" borderId="4" xfId="0" applyNumberFormat="1" applyFont="1" applyFill="1" applyBorder="1" applyAlignment="1">
      <x:alignment vertical="center"/>
    </x:xf>
    <x:xf numFmtId="0" fontId="0" fillId="0" borderId="0" xfId="0" applyNumberFormat="1" applyFont="1" applyFill="1" applyBorder="1" applyAlignment="1">
      <x:alignment vertical="center" wrapText="1"/>
    </x:xf>
    <x:xf numFmtId="200" fontId="4" fillId="5" borderId="0" xfId="0" applyNumberFormat="1" applyFont="1" applyFill="1" applyBorder="1" applyAlignment="1">
      <x:alignment vertical="center" wrapText="1"/>
    </x:xf>
    <x:xf numFmtId="201" fontId="4" fillId="5" borderId="0" xfId="0" applyNumberFormat="1" applyFont="1" applyFill="1" applyBorder="1" applyAlignment="1">
      <x:alignment vertical="center" wrapText="1"/>
    </x:xf>
    <x:xf numFmtId="0" fontId="0" fillId="0" borderId="4" xfId="0" applyNumberFormat="1" applyFont="1" applyFill="1" applyBorder="1" applyAlignment="1">
      <x:alignment vertical="center" wrapText="1"/>
    </x:xf>
    <x:xf numFmtId="201" fontId="4" fillId="5" borderId="4" xfId="0" applyNumberFormat="1" applyFont="1" applyFill="1" applyBorder="1" applyAlignment="1">
      <x:alignment vertical="center" wrapText="1"/>
    </x:xf>
    <x:xf numFmtId="202" fontId="0" fillId="0" borderId="0" xfId="0" applyNumberFormat="1" applyFont="1" applyFill="1" applyBorder="1" applyAlignment="1">
      <x:alignment vertical="center" wrapText="1"/>
    </x:xf>
    <x:xf numFmtId="0" fontId="5" fillId="0" borderId="0" xfId="0" applyNumberFormat="1" applyFont="1" applyFill="1" applyBorder="1" applyAlignment="1">
      <x:alignment vertical="center" wrapText="1"/>
    </x:xf>
    <x:xf numFmtId="0" fontId="5" fillId="0" borderId="4" xfId="0" applyNumberFormat="1" applyFont="1" applyFill="1" applyBorder="1" applyAlignment="1">
      <x:alignment vertical="center" wrapText="1"/>
    </x:xf>
    <x:xf numFmtId="200" fontId="0" fillId="0" borderId="0" xfId="0" applyNumberFormat="1" applyFont="1" applyFill="1" applyBorder="1"/>
    <x:xf numFmtId="0" fontId="0" fillId="0" borderId="0" xfId="0" applyNumberFormat="1" applyFont="1" applyFill="1" applyBorder="1" applyAlignment="1">
      <x:alignment horizontal="center"/>
    </x:xf>
    <x:xf numFmtId="203" fontId="0" fillId="0" borderId="0" xfId="0" applyNumberFormat="1" applyFont="1" applyFill="1" applyBorder="1" applyAlignment="1">
      <x:alignment horizontal="center"/>
    </x:xf>
    <x:xf numFmtId="204" fontId="0" fillId="0" borderId="0" xfId="0" applyNumberFormat="1" applyFont="1" applyFill="1" applyBorder="1"/>
    <x:xf numFmtId="0" fontId="0" fillId="0" borderId="0" xfId="0" applyNumberFormat="1" applyFont="1" applyFill="1" applyBorder="1" applyAlignment="1">
      <x:alignment wrapText="1"/>
    </x:xf>
    <x:xf numFmtId="201" fontId="0" fillId="0" borderId="0" xfId="0" applyNumberFormat="1" applyFont="1" applyFill="1" applyBorder="1"/>
    <x:xf numFmtId="205" fontId="0" fillId="0" borderId="0" xfId="0" applyNumberFormat="1" applyFont="1" applyFill="1" applyBorder="1"/>
    <x:xf numFmtId="202" fontId="0" fillId="0" borderId="0" xfId="0" applyNumberFormat="1" applyFont="1" applyFill="1" applyBorder="1" applyAlignment="1">
      <x:alignment wrapText="1"/>
    </x:xf>
    <x:xf numFmtId="0" fontId="0" fillId="6" borderId="0" xfId="0" applyNumberFormat="1" applyFont="1" applyFill="1" applyBorder="1"/>
    <x:xf numFmtId="0" fontId="3" fillId="6" borderId="0" xfId="0" applyNumberFormat="1" applyFont="1" applyFill="1" applyBorder="1"/>
    <x:xf numFmtId="0" fontId="3" fillId="6" borderId="5" xfId="0" applyNumberFormat="1" applyFont="1" applyFill="1" applyBorder="1"/>
    <x:xf numFmtId="0" fontId="3" fillId="6" borderId="6" xfId="0" applyNumberFormat="1" applyFont="1" applyFill="1" applyBorder="1"/>
    <x:xf numFmtId="0" fontId="3" fillId="6" borderId="7" xfId="0" applyNumberFormat="1" applyFont="1" applyFill="1" applyBorder="1"/>
    <x:xf numFmtId="0" fontId="3" fillId="6" borderId="5" xfId="0" applyNumberFormat="1" applyFont="1" applyFill="1" applyBorder="1" applyAlignment="1">
      <x:alignment horizontal="center"/>
    </x:xf>
    <x:xf numFmtId="0" fontId="3" fillId="6" borderId="6" xfId="0" applyNumberFormat="1" applyFont="1" applyFill="1" applyBorder="1" applyAlignment="1">
      <x:alignment horizontal="center"/>
    </x:xf>
    <x:xf numFmtId="0" fontId="3" fillId="6" borderId="7" xfId="0" applyNumberFormat="1" applyFont="1" applyFill="1" applyBorder="1" applyAlignment="1">
      <x:alignment horizontal="center"/>
    </x:xf>
    <x:xf numFmtId="0" fontId="3" fillId="6" borderId="5" xfId="0" applyNumberFormat="1" applyFont="1" applyFill="1" applyBorder="1" applyAlignment="1">
      <x:alignment horizontal="center" vertical="center"/>
    </x:xf>
    <x:xf numFmtId="0" fontId="3" fillId="6" borderId="6" xfId="0" applyNumberFormat="1" applyFont="1" applyFill="1" applyBorder="1" applyAlignment="1">
      <x:alignment horizontal="center" vertical="center"/>
    </x:xf>
    <x:xf numFmtId="0" fontId="3" fillId="6" borderId="7" xfId="0" applyNumberFormat="1" applyFont="1" applyFill="1" applyBorder="1" applyAlignment="1">
      <x:alignment horizontal="center" vertical="center"/>
    </x:xf>
    <x:xf numFmtId="0" fontId="0" fillId="7" borderId="0" xfId="0" applyNumberFormat="1" applyFont="1" applyFill="1" applyBorder="1"/>
    <x:xf numFmtId="0" fontId="6" fillId="7" borderId="0" xfId="0" applyNumberFormat="1" applyFont="1" applyFill="1" applyBorder="1"/>
    <x:xf numFmtId="0" fontId="6" fillId="7" borderId="8" xfId="0" applyNumberFormat="1" applyFont="1" applyFill="1" applyBorder="1"/>
    <x:xf numFmtId="0" fontId="6" fillId="7" borderId="9" xfId="0" applyNumberFormat="1" applyFont="1" applyFill="1" applyBorder="1"/>
    <x:xf numFmtId="0" fontId="6" fillId="7" borderId="10" xfId="0" applyNumberFormat="1" applyFont="1" applyFill="1" applyBorder="1"/>
    <x:xf numFmtId="0" fontId="6" fillId="7" borderId="11" xfId="0" applyNumberFormat="1" applyFont="1" applyFill="1" applyBorder="1"/>
    <x:xf numFmtId="0" fontId="6" fillId="7" borderId="12" xfId="0" applyNumberFormat="1" applyFont="1" applyFill="1" applyBorder="1"/>
    <x:xf numFmtId="0" fontId="6" fillId="7" borderId="13" xfId="0" applyNumberFormat="1" applyFont="1" applyFill="1" applyBorder="1"/>
    <x:xf numFmtId="202" fontId="6" fillId="7" borderId="8" xfId="0" applyNumberFormat="1" applyFont="1" applyFill="1" applyBorder="1"/>
    <x:xf numFmtId="202" fontId="6" fillId="7" borderId="9" xfId="0" applyNumberFormat="1" applyFont="1" applyFill="1" applyBorder="1"/>
    <x:xf numFmtId="202" fontId="6" fillId="7" borderId="10" xfId="0" applyNumberFormat="1" applyFont="1" applyFill="1" applyBorder="1"/>
    <x:xf numFmtId="202" fontId="6" fillId="7" borderId="11" xfId="0" applyNumberFormat="1" applyFont="1" applyFill="1" applyBorder="1"/>
    <x:xf numFmtId="202" fontId="6" fillId="7" borderId="12" xfId="0" applyNumberFormat="1" applyFont="1" applyFill="1" applyBorder="1"/>
    <x:xf numFmtId="202" fontId="6" fillId="7" borderId="13" xfId="0" applyNumberFormat="1" applyFont="1" applyFill="1" applyBorder="1"/>
    <x:xf numFmtId="202" fontId="6" fillId="7" borderId="8" xfId="0" applyNumberFormat="1" applyFont="1" applyFill="1" applyBorder="1" applyAlignment="1">
      <x:alignment horizontal="center"/>
    </x:xf>
    <x:xf numFmtId="202" fontId="6" fillId="7" borderId="9" xfId="0" applyNumberFormat="1" applyFont="1" applyFill="1" applyBorder="1" applyAlignment="1">
      <x:alignment horizontal="center"/>
    </x:xf>
    <x:xf numFmtId="202" fontId="6" fillId="7" borderId="10" xfId="0" applyNumberFormat="1" applyFont="1" applyFill="1" applyBorder="1" applyAlignment="1">
      <x:alignment horizontal="center"/>
    </x:xf>
    <x:xf numFmtId="202" fontId="6" fillId="7" borderId="11" xfId="0" applyNumberFormat="1" applyFont="1" applyFill="1" applyBorder="1" applyAlignment="1">
      <x:alignment horizontal="center"/>
    </x:xf>
    <x:xf numFmtId="202" fontId="6" fillId="7" borderId="12" xfId="0" applyNumberFormat="1" applyFont="1" applyFill="1" applyBorder="1" applyAlignment="1">
      <x:alignment horizontal="center"/>
    </x:xf>
    <x:xf numFmtId="202" fontId="6" fillId="7" borderId="13" xfId="0" applyNumberFormat="1" applyFont="1" applyFill="1" applyBorder="1" applyAlignment="1">
      <x:alignment horizontal="center"/>
    </x:xf>
    <x:xf numFmtId="202" fontId="6" fillId="7" borderId="8" xfId="0" applyNumberFormat="1" applyFont="1" applyFill="1" applyBorder="1" applyAlignment="1">
      <x:alignment horizontal="center" vertical="center"/>
    </x:xf>
    <x:xf numFmtId="202" fontId="6" fillId="7" borderId="9" xfId="0" applyNumberFormat="1" applyFont="1" applyFill="1" applyBorder="1" applyAlignment="1">
      <x:alignment horizontal="center" vertical="center"/>
    </x:xf>
    <x:xf numFmtId="202" fontId="6" fillId="7" borderId="10" xfId="0" applyNumberFormat="1" applyFont="1" applyFill="1" applyBorder="1" applyAlignment="1">
      <x:alignment horizontal="center" vertical="center"/>
    </x:xf>
    <x:xf numFmtId="202" fontId="6" fillId="7" borderId="11" xfId="0" applyNumberFormat="1" applyFont="1" applyFill="1" applyBorder="1" applyAlignment="1">
      <x:alignment horizontal="center" vertical="center"/>
    </x:xf>
    <x:xf numFmtId="202" fontId="6" fillId="7" borderId="12" xfId="0" applyNumberFormat="1" applyFont="1" applyFill="1" applyBorder="1" applyAlignment="1">
      <x:alignment horizontal="center" vertical="center"/>
    </x:xf>
    <x:xf numFmtId="202" fontId="6" fillId="7" borderId="13" xfId="0" applyNumberFormat="1" applyFont="1" applyFill="1" applyBorder="1" applyAlignment="1">
      <x:alignment horizontal="center" vertical="center"/>
    </x:xf>
    <x:xf numFmtId="0" fontId="0" fillId="8" borderId="0" xfId="0" applyNumberFormat="1" applyFont="1" applyFill="1" applyBorder="1"/>
    <x:xf numFmtId="0" fontId="3" fillId="8" borderId="0" xfId="0" applyNumberFormat="1" applyFont="1" applyFill="1" applyBorder="1"/>
    <x:xf numFmtId="0" fontId="3" fillId="8" borderId="14" xfId="0" applyNumberFormat="1" applyFont="1" applyFill="1" applyBorder="1"/>
    <x:xf numFmtId="0" fontId="3" fillId="8" borderId="15" xfId="0" applyNumberFormat="1" applyFont="1" applyFill="1" applyBorder="1"/>
    <x:xf numFmtId="0" fontId="3" fillId="8" borderId="16" xfId="0" applyNumberFormat="1" applyFont="1" applyFill="1" applyBorder="1"/>
    <x:xf numFmtId="0" fontId="3" fillId="8" borderId="14" xfId="0" applyNumberFormat="1" applyFont="1" applyFill="1" applyBorder="1" applyAlignment="1">
      <x:alignment horizontal="center"/>
    </x:xf>
    <x:xf numFmtId="0" fontId="3" fillId="8" borderId="15" xfId="0" applyNumberFormat="1" applyFont="1" applyFill="1" applyBorder="1" applyAlignment="1">
      <x:alignment horizontal="center"/>
    </x:xf>
    <x:xf numFmtId="0" fontId="3" fillId="8" borderId="16" xfId="0" applyNumberFormat="1" applyFont="1" applyFill="1" applyBorder="1" applyAlignment="1">
      <x:alignment horizontal="center"/>
    </x:xf>
    <x:xf numFmtId="0" fontId="3" fillId="8" borderId="14" xfId="0" applyNumberFormat="1" applyFont="1" applyFill="1" applyBorder="1" applyAlignment="1">
      <x:alignment horizontal="center" vertical="center"/>
    </x:xf>
    <x:xf numFmtId="0" fontId="3" fillId="8" borderId="15" xfId="0" applyNumberFormat="1" applyFont="1" applyFill="1" applyBorder="1" applyAlignment="1">
      <x:alignment horizontal="center" vertical="center"/>
    </x:xf>
    <x:xf numFmtId="0" fontId="3" fillId="8" borderId="16" xfId="0" applyNumberFormat="1" applyFont="1" applyFill="1" applyBorder="1" applyAlignment="1">
      <x:alignment horizontal="center" vertical="center"/>
    </x:xf>
    <x:xf numFmtId="0" fontId="7" fillId="7" borderId="0" xfId="0" applyNumberFormat="1" applyFont="1" applyFill="1" applyBorder="1"/>
    <x:xf numFmtId="0" fontId="7" fillId="7" borderId="17" xfId="0" applyNumberFormat="1" applyFont="1" applyFill="1" applyBorder="1"/>
    <x:xf numFmtId="0" fontId="7" fillId="7" borderId="18" xfId="0" applyNumberFormat="1" applyFont="1" applyFill="1" applyBorder="1"/>
    <x:xf numFmtId="0" fontId="7" fillId="7" borderId="19" xfId="0" applyNumberFormat="1" applyFont="1" applyFill="1" applyBorder="1"/>
    <x:xf numFmtId="0" fontId="7" fillId="7" borderId="20" xfId="0" applyNumberFormat="1" applyFont="1" applyFill="1" applyBorder="1"/>
    <x:xf numFmtId="0" fontId="7" fillId="7" borderId="21" xfId="0" applyNumberFormat="1" applyFont="1" applyFill="1" applyBorder="1"/>
    <x:xf numFmtId="0" fontId="7" fillId="7" borderId="22" xfId="0" applyNumberFormat="1" applyFont="1" applyFill="1" applyBorder="1"/>
    <x:xf numFmtId="201" fontId="7" fillId="7" borderId="17" xfId="0" applyNumberFormat="1" applyFont="1" applyFill="1" applyBorder="1"/>
    <x:xf numFmtId="201" fontId="7" fillId="7" borderId="18" xfId="0" applyNumberFormat="1" applyFont="1" applyFill="1" applyBorder="1"/>
    <x:xf numFmtId="201" fontId="7" fillId="7" borderId="19" xfId="0" applyNumberFormat="1" applyFont="1" applyFill="1" applyBorder="1"/>
    <x:xf numFmtId="201" fontId="7" fillId="7" borderId="20" xfId="0" applyNumberFormat="1" applyFont="1" applyFill="1" applyBorder="1"/>
    <x:xf numFmtId="201" fontId="7" fillId="7" borderId="21" xfId="0" applyNumberFormat="1" applyFont="1" applyFill="1" applyBorder="1"/>
    <x:xf numFmtId="201" fontId="7" fillId="7" borderId="22" xfId="0" applyNumberFormat="1" applyFont="1" applyFill="1" applyBorder="1"/>
    <x:xf numFmtId="201" fontId="7" fillId="7" borderId="17" xfId="0" applyNumberFormat="1" applyFont="1" applyFill="1" applyBorder="1" applyAlignment="1">
      <x:alignment horizontal="center"/>
    </x:xf>
    <x:xf numFmtId="201" fontId="7" fillId="7" borderId="18" xfId="0" applyNumberFormat="1" applyFont="1" applyFill="1" applyBorder="1" applyAlignment="1">
      <x:alignment horizontal="center"/>
    </x:xf>
    <x:xf numFmtId="201" fontId="7" fillId="7" borderId="19" xfId="0" applyNumberFormat="1" applyFont="1" applyFill="1" applyBorder="1" applyAlignment="1">
      <x:alignment horizontal="center"/>
    </x:xf>
    <x:xf numFmtId="201" fontId="7" fillId="7" borderId="20" xfId="0" applyNumberFormat="1" applyFont="1" applyFill="1" applyBorder="1" applyAlignment="1">
      <x:alignment horizontal="center"/>
    </x:xf>
    <x:xf numFmtId="201" fontId="7" fillId="7" borderId="21" xfId="0" applyNumberFormat="1" applyFont="1" applyFill="1" applyBorder="1" applyAlignment="1">
      <x:alignment horizontal="center"/>
    </x:xf>
    <x:xf numFmtId="201" fontId="7" fillId="7" borderId="22" xfId="0" applyNumberFormat="1" applyFont="1" applyFill="1" applyBorder="1" applyAlignment="1">
      <x:alignment horizontal="center"/>
    </x:xf>
    <x:xf numFmtId="201" fontId="7" fillId="7" borderId="17" xfId="0" applyNumberFormat="1" applyFont="1" applyFill="1" applyBorder="1" applyAlignment="1">
      <x:alignment horizontal="center" vertical="center"/>
    </x:xf>
    <x:xf numFmtId="201" fontId="7" fillId="7" borderId="18" xfId="0" applyNumberFormat="1" applyFont="1" applyFill="1" applyBorder="1" applyAlignment="1">
      <x:alignment horizontal="center" vertical="center"/>
    </x:xf>
    <x:xf numFmtId="201" fontId="7" fillId="7" borderId="19" xfId="0" applyNumberFormat="1" applyFont="1" applyFill="1" applyBorder="1" applyAlignment="1">
      <x:alignment horizontal="center" vertical="center"/>
    </x:xf>
    <x:xf numFmtId="201" fontId="7" fillId="7" borderId="20" xfId="0" applyNumberFormat="1" applyFont="1" applyFill="1" applyBorder="1" applyAlignment="1">
      <x:alignment horizontal="center" vertical="center"/>
    </x:xf>
    <x:xf numFmtId="201" fontId="7" fillId="7" borderId="21" xfId="0" applyNumberFormat="1" applyFont="1" applyFill="1" applyBorder="1" applyAlignment="1">
      <x:alignment horizontal="center" vertical="center"/>
    </x:xf>
    <x:xf numFmtId="201" fontId="7" fillId="7" borderId="22" xfId="0" applyNumberFormat="1" applyFont="1" applyFill="1" applyBorder="1" applyAlignment="1">
      <x:alignment horizontal="center" vertical="center"/>
    </x:xf>
    <x:xf numFmtId="0" fontId="0" fillId="9" borderId="0" xfId="0" applyNumberFormat="1" applyFont="1" applyFill="1" applyBorder="1"/>
    <x:xf numFmtId="0" fontId="3" fillId="9" borderId="0" xfId="0" applyNumberFormat="1" applyFont="1" applyFill="1" applyBorder="1"/>
    <x:xf numFmtId="0" fontId="3" fillId="9" borderId="23" xfId="0" applyNumberFormat="1" applyFont="1" applyFill="1" applyBorder="1"/>
    <x:xf numFmtId="0" fontId="3" fillId="9" borderId="24" xfId="0" applyNumberFormat="1" applyFont="1" applyFill="1" applyBorder="1"/>
    <x:xf numFmtId="0" fontId="3" fillId="9" borderId="25" xfId="0" applyNumberFormat="1" applyFont="1" applyFill="1" applyBorder="1"/>
    <x:xf numFmtId="0" fontId="3" fillId="9" borderId="23" xfId="0" applyNumberFormat="1" applyFont="1" applyFill="1" applyBorder="1" applyAlignment="1">
      <x:alignment horizontal="center"/>
    </x:xf>
    <x:xf numFmtId="0" fontId="3" fillId="9" borderId="24" xfId="0" applyNumberFormat="1" applyFont="1" applyFill="1" applyBorder="1" applyAlignment="1">
      <x:alignment horizontal="center"/>
    </x:xf>
    <x:xf numFmtId="0" fontId="3" fillId="9" borderId="25" xfId="0" applyNumberFormat="1" applyFont="1" applyFill="1" applyBorder="1" applyAlignment="1">
      <x:alignment horizontal="center"/>
    </x:xf>
    <x:xf numFmtId="0" fontId="3" fillId="9" borderId="23" xfId="0" applyNumberFormat="1" applyFont="1" applyFill="1" applyBorder="1" applyAlignment="1">
      <x:alignment horizontal="center" vertical="center"/>
    </x:xf>
    <x:xf numFmtId="0" fontId="3" fillId="9" borderId="24" xfId="0" applyNumberFormat="1" applyFont="1" applyFill="1" applyBorder="1" applyAlignment="1">
      <x:alignment horizontal="center" vertical="center"/>
    </x:xf>
    <x:xf numFmtId="0" fontId="3" fillId="9" borderId="25" xfId="0" applyNumberFormat="1" applyFont="1" applyFill="1" applyBorder="1" applyAlignment="1">
      <x:alignment horizontal="center" vertical="center"/>
    </x:xf>
    <x:xf numFmtId="0" fontId="8" fillId="7" borderId="0" xfId="0" applyNumberFormat="1" applyFont="1" applyFill="1" applyBorder="1"/>
    <x:xf numFmtId="0" fontId="8" fillId="7" borderId="26" xfId="0" applyNumberFormat="1" applyFont="1" applyFill="1" applyBorder="1"/>
    <x:xf numFmtId="0" fontId="8" fillId="7" borderId="27" xfId="0" applyNumberFormat="1" applyFont="1" applyFill="1" applyBorder="1"/>
    <x:xf numFmtId="0" fontId="8" fillId="7" borderId="28" xfId="0" applyNumberFormat="1" applyFont="1" applyFill="1" applyBorder="1"/>
    <x:xf numFmtId="0" fontId="8" fillId="7" borderId="29" xfId="0" applyNumberFormat="1" applyFont="1" applyFill="1" applyBorder="1"/>
    <x:xf numFmtId="0" fontId="8" fillId="7" borderId="30" xfId="0" applyNumberFormat="1" applyFont="1" applyFill="1" applyBorder="1"/>
    <x:xf numFmtId="0" fontId="8" fillId="7" borderId="31" xfId="0" applyNumberFormat="1" applyFont="1" applyFill="1" applyBorder="1"/>
    <x:xf numFmtId="203" fontId="8" fillId="7" borderId="26" xfId="0" applyNumberFormat="1" applyFont="1" applyFill="1" applyBorder="1"/>
    <x:xf numFmtId="203" fontId="8" fillId="7" borderId="27" xfId="0" applyNumberFormat="1" applyFont="1" applyFill="1" applyBorder="1"/>
    <x:xf numFmtId="203" fontId="8" fillId="7" borderId="28" xfId="0" applyNumberFormat="1" applyFont="1" applyFill="1" applyBorder="1"/>
    <x:xf numFmtId="203" fontId="8" fillId="7" borderId="29" xfId="0" applyNumberFormat="1" applyFont="1" applyFill="1" applyBorder="1"/>
    <x:xf numFmtId="203" fontId="8" fillId="7" borderId="30" xfId="0" applyNumberFormat="1" applyFont="1" applyFill="1" applyBorder="1"/>
    <x:xf numFmtId="203" fontId="8" fillId="7" borderId="31" xfId="0" applyNumberFormat="1" applyFont="1" applyFill="1" applyBorder="1"/>
    <x:xf numFmtId="203" fontId="8" fillId="7" borderId="26" xfId="0" applyNumberFormat="1" applyFont="1" applyFill="1" applyBorder="1" applyAlignment="1">
      <x:alignment horizontal="center"/>
    </x:xf>
    <x:xf numFmtId="203" fontId="8" fillId="7" borderId="27" xfId="0" applyNumberFormat="1" applyFont="1" applyFill="1" applyBorder="1" applyAlignment="1">
      <x:alignment horizontal="center"/>
    </x:xf>
    <x:xf numFmtId="203" fontId="8" fillId="7" borderId="28" xfId="0" applyNumberFormat="1" applyFont="1" applyFill="1" applyBorder="1" applyAlignment="1">
      <x:alignment horizontal="center"/>
    </x:xf>
    <x:xf numFmtId="203" fontId="8" fillId="7" borderId="29" xfId="0" applyNumberFormat="1" applyFont="1" applyFill="1" applyBorder="1" applyAlignment="1">
      <x:alignment horizontal="center"/>
    </x:xf>
    <x:xf numFmtId="203" fontId="8" fillId="7" borderId="30" xfId="0" applyNumberFormat="1" applyFont="1" applyFill="1" applyBorder="1" applyAlignment="1">
      <x:alignment horizontal="center"/>
    </x:xf>
    <x:xf numFmtId="203" fontId="8" fillId="7" borderId="31" xfId="0" applyNumberFormat="1" applyFont="1" applyFill="1" applyBorder="1" applyAlignment="1">
      <x:alignment horizontal="center"/>
    </x:xf>
    <x:xf numFmtId="203" fontId="8" fillId="7" borderId="26" xfId="0" applyNumberFormat="1" applyFont="1" applyFill="1" applyBorder="1" applyAlignment="1">
      <x:alignment horizontal="center" vertical="center"/>
    </x:xf>
    <x:xf numFmtId="203" fontId="8" fillId="7" borderId="27" xfId="0" applyNumberFormat="1" applyFont="1" applyFill="1" applyBorder="1" applyAlignment="1">
      <x:alignment horizontal="center" vertical="center"/>
    </x:xf>
    <x:xf numFmtId="203" fontId="8" fillId="7" borderId="28" xfId="0" applyNumberFormat="1" applyFont="1" applyFill="1" applyBorder="1" applyAlignment="1">
      <x:alignment horizontal="center" vertical="center"/>
    </x:xf>
    <x:xf numFmtId="203" fontId="8" fillId="7" borderId="29" xfId="0" applyNumberFormat="1" applyFont="1" applyFill="1" applyBorder="1" applyAlignment="1">
      <x:alignment horizontal="center" vertical="center"/>
    </x:xf>
    <x:xf numFmtId="203" fontId="8" fillId="7" borderId="30" xfId="0" applyNumberFormat="1" applyFont="1" applyFill="1" applyBorder="1" applyAlignment="1">
      <x:alignment horizontal="center" vertical="center"/>
    </x:xf>
    <x:xf numFmtId="203" fontId="8" fillId="7" borderId="31" xfId="0" applyNumberFormat="1" applyFont="1" applyFill="1" applyBorder="1" applyAlignment="1">
      <x:alignment horizontal="center" vertical="center"/>
    </x:xf>
    <x:xf numFmtId="0" fontId="0" fillId="10" borderId="0" xfId="0" applyNumberFormat="1" applyFont="1" applyFill="1" applyBorder="1"/>
    <x:xf numFmtId="0" fontId="3" fillId="10" borderId="0" xfId="0" applyNumberFormat="1" applyFont="1" applyFill="1" applyBorder="1"/>
    <x:xf numFmtId="0" fontId="3" fillId="10" borderId="32" xfId="0" applyNumberFormat="1" applyFont="1" applyFill="1" applyBorder="1"/>
    <x:xf numFmtId="0" fontId="3" fillId="10" borderId="33" xfId="0" applyNumberFormat="1" applyFont="1" applyFill="1" applyBorder="1"/>
    <x:xf numFmtId="0" fontId="3" fillId="10" borderId="34" xfId="0" applyNumberFormat="1" applyFont="1" applyFill="1" applyBorder="1"/>
    <x:xf numFmtId="0" fontId="3" fillId="10" borderId="32" xfId="0" applyNumberFormat="1" applyFont="1" applyFill="1" applyBorder="1" applyAlignment="1">
      <x:alignment horizontal="center"/>
    </x:xf>
    <x:xf numFmtId="0" fontId="3" fillId="10" borderId="33" xfId="0" applyNumberFormat="1" applyFont="1" applyFill="1" applyBorder="1" applyAlignment="1">
      <x:alignment horizontal="center"/>
    </x:xf>
    <x:xf numFmtId="0" fontId="3" fillId="10" borderId="34" xfId="0" applyNumberFormat="1" applyFont="1" applyFill="1" applyBorder="1" applyAlignment="1">
      <x:alignment horizontal="center"/>
    </x:xf>
    <x:xf numFmtId="0" fontId="3" fillId="10" borderId="32" xfId="0" applyNumberFormat="1" applyFont="1" applyFill="1" applyBorder="1" applyAlignment="1">
      <x:alignment horizontal="center" vertical="center"/>
    </x:xf>
    <x:xf numFmtId="0" fontId="3" fillId="10" borderId="33" xfId="0" applyNumberFormat="1" applyFont="1" applyFill="1" applyBorder="1" applyAlignment="1">
      <x:alignment horizontal="center" vertical="center"/>
    </x:xf>
    <x:xf numFmtId="0" fontId="3" fillId="10" borderId="34" xfId="0" applyNumberFormat="1" applyFont="1" applyFill="1" applyBorder="1" applyAlignment="1">
      <x:alignment horizontal="center" vertical="center"/>
    </x:xf>
    <x:xf numFmtId="0" fontId="9" fillId="7" borderId="0" xfId="0" applyNumberFormat="1" applyFont="1" applyFill="1" applyBorder="1"/>
    <x:xf numFmtId="0" fontId="9" fillId="7" borderId="35" xfId="0" applyNumberFormat="1" applyFont="1" applyFill="1" applyBorder="1"/>
    <x:xf numFmtId="0" fontId="9" fillId="7" borderId="36" xfId="0" applyNumberFormat="1" applyFont="1" applyFill="1" applyBorder="1"/>
    <x:xf numFmtId="0" fontId="9" fillId="7" borderId="37" xfId="0" applyNumberFormat="1" applyFont="1" applyFill="1" applyBorder="1"/>
    <x:xf numFmtId="0" fontId="9" fillId="7" borderId="38" xfId="0" applyNumberFormat="1" applyFont="1" applyFill="1" applyBorder="1"/>
    <x:xf numFmtId="0" fontId="9" fillId="7" borderId="39" xfId="0" applyNumberFormat="1" applyFont="1" applyFill="1" applyBorder="1"/>
    <x:xf numFmtId="0" fontId="9" fillId="7" borderId="40" xfId="0" applyNumberFormat="1" applyFont="1" applyFill="1" applyBorder="1"/>
    <x:xf numFmtId="201" fontId="9" fillId="7" borderId="35" xfId="0" applyNumberFormat="1" applyFont="1" applyFill="1" applyBorder="1"/>
    <x:xf numFmtId="201" fontId="9" fillId="7" borderId="36" xfId="0" applyNumberFormat="1" applyFont="1" applyFill="1" applyBorder="1"/>
    <x:xf numFmtId="201" fontId="9" fillId="7" borderId="37" xfId="0" applyNumberFormat="1" applyFont="1" applyFill="1" applyBorder="1"/>
    <x:xf numFmtId="201" fontId="9" fillId="7" borderId="38" xfId="0" applyNumberFormat="1" applyFont="1" applyFill="1" applyBorder="1"/>
    <x:xf numFmtId="201" fontId="9" fillId="7" borderId="39" xfId="0" applyNumberFormat="1" applyFont="1" applyFill="1" applyBorder="1"/>
    <x:xf numFmtId="201" fontId="9" fillId="7" borderId="40" xfId="0" applyNumberFormat="1" applyFont="1" applyFill="1" applyBorder="1"/>
    <x:xf numFmtId="201" fontId="9" fillId="7" borderId="35" xfId="0" applyNumberFormat="1" applyFont="1" applyFill="1" applyBorder="1" applyAlignment="1">
      <x:alignment horizontal="center"/>
    </x:xf>
    <x:xf numFmtId="201" fontId="9" fillId="7" borderId="36" xfId="0" applyNumberFormat="1" applyFont="1" applyFill="1" applyBorder="1" applyAlignment="1">
      <x:alignment horizontal="center"/>
    </x:xf>
    <x:xf numFmtId="201" fontId="9" fillId="7" borderId="37" xfId="0" applyNumberFormat="1" applyFont="1" applyFill="1" applyBorder="1" applyAlignment="1">
      <x:alignment horizontal="center"/>
    </x:xf>
    <x:xf numFmtId="201" fontId="9" fillId="7" borderId="38" xfId="0" applyNumberFormat="1" applyFont="1" applyFill="1" applyBorder="1" applyAlignment="1">
      <x:alignment horizontal="center"/>
    </x:xf>
    <x:xf numFmtId="201" fontId="9" fillId="7" borderId="39" xfId="0" applyNumberFormat="1" applyFont="1" applyFill="1" applyBorder="1" applyAlignment="1">
      <x:alignment horizontal="center"/>
    </x:xf>
    <x:xf numFmtId="201" fontId="9" fillId="7" borderId="40" xfId="0" applyNumberFormat="1" applyFont="1" applyFill="1" applyBorder="1" applyAlignment="1">
      <x:alignment horizontal="center"/>
    </x:xf>
    <x:xf numFmtId="201" fontId="9" fillId="7" borderId="35" xfId="0" applyNumberFormat="1" applyFont="1" applyFill="1" applyBorder="1" applyAlignment="1">
      <x:alignment horizontal="center" vertical="center"/>
    </x:xf>
    <x:xf numFmtId="201" fontId="9" fillId="7" borderId="36" xfId="0" applyNumberFormat="1" applyFont="1" applyFill="1" applyBorder="1" applyAlignment="1">
      <x:alignment horizontal="center" vertical="center"/>
    </x:xf>
    <x:xf numFmtId="201" fontId="9" fillId="7" borderId="37" xfId="0" applyNumberFormat="1" applyFont="1" applyFill="1" applyBorder="1" applyAlignment="1">
      <x:alignment horizontal="center" vertical="center"/>
    </x:xf>
    <x:xf numFmtId="201" fontId="9" fillId="7" borderId="38" xfId="0" applyNumberFormat="1" applyFont="1" applyFill="1" applyBorder="1" applyAlignment="1">
      <x:alignment horizontal="center" vertical="center"/>
    </x:xf>
    <x:xf numFmtId="201" fontId="9" fillId="7" borderId="39" xfId="0" applyNumberFormat="1" applyFont="1" applyFill="1" applyBorder="1" applyAlignment="1">
      <x:alignment horizontal="center" vertical="center"/>
    </x:xf>
    <x:xf numFmtId="201" fontId="9" fillId="7" borderId="40" xfId="0" applyNumberFormat="1" applyFont="1" applyFill="1" applyBorder="1" applyAlignment="1">
      <x:alignment horizontal="center" vertical="center"/>
    </x:xf>
    <x:xf numFmtId="0" fontId="3" fillId="4" borderId="0" xfId="0" applyNumberFormat="1" applyFont="1" applyFill="1" applyBorder="1" applyAlignment="1">
      <x:alignment horizontal="left"/>
    </x:xf>
    <x:xf numFmtId="0" fontId="3" fillId="4" borderId="0" xfId="0" applyNumberFormat="1" applyFont="1" applyFill="1" applyBorder="1" applyAlignment="1">
      <x:alignment horizontal="left" vertical="center"/>
    </x:xf>
    <x:xf numFmtId="0" fontId="10" fillId="3" borderId="0" xfId="0" applyNumberFormat="1" applyFont="1" applyFill="1" applyBorder="1"/>
    <x:xf numFmtId="0" fontId="10" fillId="3" borderId="0" xfId="0" applyNumberFormat="1" applyFont="1" applyFill="1" applyBorder="1" applyAlignment="1">
      <x:alignment vertical="center"/>
    </x:xf>
    <x:xf numFmtId="0" fontId="11" fillId="7" borderId="0" xfId="0" applyNumberFormat="1" applyFont="1" applyFill="1" applyBorder="1"/>
    <x:xf numFmtId="0" fontId="11" fillId="7" borderId="0" xfId="0" applyNumberFormat="1" applyFont="1" applyFill="1" applyBorder="1" applyAlignment="1">
      <x:alignment wrapText="1"/>
    </x:xf>
    <x:xf numFmtId="0" fontId="11" fillId="7" borderId="0" xfId="0" applyNumberFormat="1" applyFont="1" applyFill="1" applyBorder="1" applyAlignment="1">
      <x:alignment vertical="center" wrapText="1"/>
    </x:xf>
    <x:xf numFmtId="0" fontId="10" fillId="3" borderId="41" xfId="0" applyNumberFormat="1" applyFont="1" applyFill="1" applyBorder="1" applyAlignment="1">
      <x:alignment vertical="center"/>
    </x:xf>
    <x:xf numFmtId="0" fontId="10" fillId="3" borderId="42" xfId="0" applyNumberFormat="1" applyFont="1" applyFill="1" applyBorder="1" applyAlignment="1">
      <x:alignment vertical="center"/>
    </x:xf>
    <x:xf numFmtId="0" fontId="11" fillId="7" borderId="42" xfId="0" applyNumberFormat="1" applyFont="1" applyFill="1" applyBorder="1" applyAlignment="1">
      <x:alignment vertical="center" wrapText="1"/>
    </x:xf>
    <x:xf numFmtId="0" fontId="11" fillId="7" borderId="43" xfId="0" applyNumberFormat="1" applyFont="1" applyFill="1" applyBorder="1" applyAlignment="1">
      <x:alignment vertical="center" wrapText="1"/>
    </x:xf>
    <x:xf numFmtId="0" fontId="10" fillId="3" borderId="44" xfId="0" applyNumberFormat="1" applyFont="1" applyFill="1" applyBorder="1" applyAlignment="1">
      <x:alignment vertical="center"/>
    </x:xf>
    <x:xf numFmtId="0" fontId="11" fillId="7" borderId="45" xfId="0" applyNumberFormat="1" applyFont="1" applyFill="1" applyBorder="1" applyAlignment="1">
      <x:alignment vertical="center" wrapText="1"/>
    </x:xf>
    <x:xf numFmtId="0" fontId="10" fillId="3" borderId="46" xfId="0" applyNumberFormat="1" applyFont="1" applyFill="1" applyBorder="1" applyAlignment="1">
      <x:alignment vertical="center"/>
    </x:xf>
    <x:xf numFmtId="0" fontId="10" fillId="3" borderId="4" xfId="0" applyNumberFormat="1" applyFont="1" applyFill="1" applyBorder="1" applyAlignment="1">
      <x:alignment vertical="center"/>
    </x:xf>
    <x:xf numFmtId="0" fontId="11" fillId="7" borderId="4" xfId="0" applyNumberFormat="1" applyFont="1" applyFill="1" applyBorder="1" applyAlignment="1">
      <x:alignment vertical="center" wrapText="1"/>
    </x:xf>
    <x:xf numFmtId="0" fontId="11" fillId="7" borderId="47" xfId="0" applyNumberFormat="1" applyFont="1" applyFill="1" applyBorder="1" applyAlignment="1">
      <x:alignment vertical="center" wrapText="1"/>
    </x:xf>
    <x:xf numFmtId="0" fontId="3" fillId="6" borderId="0" xfId="0" applyNumberFormat="1" applyFont="1" applyFill="1" applyBorder="1" applyAlignment="1">
      <x:alignment horizontal="left"/>
    </x:xf>
    <x:xf numFmtId="0" fontId="3" fillId="6" borderId="0" xfId="0" applyNumberFormat="1" applyFont="1" applyFill="1" applyBorder="1" applyAlignment="1">
      <x:alignment horizontal="left" vertical="center"/>
    </x:xf>
    <x:xf numFmtId="0" fontId="10" fillId="3" borderId="0" xfId="0" applyNumberFormat="1" applyFont="1" applyFill="1" applyBorder="1" applyAlignment="1">
      <x:alignment wrapText="1"/>
    </x:xf>
    <x:xf numFmtId="0" fontId="10" fillId="3" borderId="0" xfId="0" applyNumberFormat="1" applyFont="1" applyFill="1" applyBorder="1" applyAlignment="1">
      <x:alignment vertical="center" wrapText="1"/>
    </x:xf>
    <x:xf numFmtId="0" fontId="12" fillId="7" borderId="0" xfId="0" applyNumberFormat="1" applyFont="1" applyFill="1" applyBorder="1"/>
    <x:xf numFmtId="0" fontId="12" fillId="7" borderId="0" xfId="0" applyNumberFormat="1" applyFont="1" applyFill="1" applyBorder="1" applyAlignment="1">
      <x:alignment horizontal="center"/>
    </x:xf>
    <x:xf numFmtId="0" fontId="12" fillId="7" borderId="0" xfId="0" applyNumberFormat="1" applyFont="1" applyFill="1" applyBorder="1" applyAlignment="1">
      <x:alignment horizontal="center" vertical="center"/>
    </x:xf>
    <x:xf numFmtId="204" fontId="12" fillId="7" borderId="0" xfId="0" applyNumberFormat="1" applyFont="1" applyFill="1" applyBorder="1" applyAlignment="1">
      <x:alignment horizontal="center" vertical="center"/>
    </x:xf>
    <x:xf numFmtId="0" fontId="10" fillId="3" borderId="41" xfId="0" applyNumberFormat="1" applyFont="1" applyFill="1" applyBorder="1" applyAlignment="1">
      <x:alignment vertical="center" wrapText="1"/>
    </x:xf>
    <x:xf numFmtId="0" fontId="10" fillId="3" borderId="42" xfId="0" applyNumberFormat="1" applyFont="1" applyFill="1" applyBorder="1" applyAlignment="1">
      <x:alignment vertical="center" wrapText="1"/>
    </x:xf>
    <x:xf numFmtId="0" fontId="12" fillId="7" borderId="43" xfId="0" applyNumberFormat="1" applyFont="1" applyFill="1" applyBorder="1" applyAlignment="1">
      <x:alignment horizontal="center" vertical="center"/>
    </x:xf>
    <x:xf numFmtId="0" fontId="10" fillId="3" borderId="44" xfId="0" applyNumberFormat="1" applyFont="1" applyFill="1" applyBorder="1" applyAlignment="1">
      <x:alignment vertical="center" wrapText="1"/>
    </x:xf>
    <x:xf numFmtId="0" fontId="12" fillId="7" borderId="45" xfId="0" applyNumberFormat="1" applyFont="1" applyFill="1" applyBorder="1" applyAlignment="1">
      <x:alignment horizontal="center" vertical="center"/>
    </x:xf>
    <x:xf numFmtId="0" fontId="10" fillId="3" borderId="46" xfId="0" applyNumberFormat="1" applyFont="1" applyFill="1" applyBorder="1" applyAlignment="1">
      <x:alignment vertical="center" wrapText="1"/>
    </x:xf>
    <x:xf numFmtId="0" fontId="10" fillId="3" borderId="4" xfId="0" applyNumberFormat="1" applyFont="1" applyFill="1" applyBorder="1" applyAlignment="1">
      <x:alignment vertical="center" wrapText="1"/>
    </x:xf>
    <x:xf numFmtId="204" fontId="12" fillId="7" borderId="47" xfId="0" applyNumberFormat="1" applyFont="1" applyFill="1" applyBorder="1" applyAlignment="1">
      <x:alignment horizontal="center" vertical="center"/>
    </x:xf>
    <x:xf numFmtId="202" fontId="0" fillId="0" borderId="4" xfId="0" applyNumberFormat="1" applyFont="1" applyFill="1" applyBorder="1"/>
    <x:xf numFmtId="203" fontId="0" fillId="0" borderId="0" xfId="0" applyNumberFormat="1" applyFont="1" applyFill="1" applyBorder="1"/>
    <x:xf numFmtId="203" fontId="0" fillId="0" borderId="4" xfId="0" applyNumberFormat="1" applyFont="1" applyFill="1" applyBorder="1"/>
    <x:xf numFmtId="0" fontId="11" fillId="3" borderId="0" xfId="0" applyNumberFormat="1" applyFont="1" applyFill="1" applyBorder="1"/>
    <x:xf numFmtId="0" fontId="11" fillId="3" borderId="41" xfId="0" applyNumberFormat="1" applyFont="1" applyFill="1" applyBorder="1"/>
    <x:xf numFmtId="0" fontId="11" fillId="3" borderId="42" xfId="0" applyNumberFormat="1" applyFont="1" applyFill="1" applyBorder="1"/>
    <x:xf numFmtId="0" fontId="11" fillId="3" borderId="43" xfId="0" applyNumberFormat="1" applyFont="1" applyFill="1" applyBorder="1"/>
    <x:xf numFmtId="0" fontId="11" fillId="3" borderId="44" xfId="0" applyNumberFormat="1" applyFont="1" applyFill="1" applyBorder="1"/>
    <x:xf numFmtId="0" fontId="11" fillId="3" borderId="45" xfId="0" applyNumberFormat="1" applyFont="1" applyFill="1" applyBorder="1"/>
    <x:xf numFmtId="0" fontId="11" fillId="3" borderId="46" xfId="0" applyNumberFormat="1" applyFont="1" applyFill="1" applyBorder="1"/>
    <x:xf numFmtId="0" fontId="11" fillId="3" borderId="4" xfId="0" applyNumberFormat="1" applyFont="1" applyFill="1" applyBorder="1"/>
    <x:xf numFmtId="0" fontId="11" fillId="3" borderId="47" xfId="0" applyNumberFormat="1" applyFont="1" applyFill="1" applyBorder="1"/>
    <x:xf numFmtId="0" fontId="11" fillId="3" borderId="41" xfId="0" applyNumberFormat="1" applyFont="1" applyFill="1" applyBorder="1" applyAlignment="1">
      <x:alignment wrapText="1"/>
    </x:xf>
    <x:xf numFmtId="0" fontId="11" fillId="3" borderId="42" xfId="0" applyNumberFormat="1" applyFont="1" applyFill="1" applyBorder="1" applyAlignment="1">
      <x:alignment wrapText="1"/>
    </x:xf>
    <x:xf numFmtId="0" fontId="11" fillId="3" borderId="43" xfId="0" applyNumberFormat="1" applyFont="1" applyFill="1" applyBorder="1" applyAlignment="1">
      <x:alignment wrapText="1"/>
    </x:xf>
    <x:xf numFmtId="0" fontId="11" fillId="3" borderId="44" xfId="0" applyNumberFormat="1" applyFont="1" applyFill="1" applyBorder="1" applyAlignment="1">
      <x:alignment wrapText="1"/>
    </x:xf>
    <x:xf numFmtId="0" fontId="11" fillId="3" borderId="0" xfId="0" applyNumberFormat="1" applyFont="1" applyFill="1" applyBorder="1" applyAlignment="1">
      <x:alignment wrapText="1"/>
    </x:xf>
    <x:xf numFmtId="0" fontId="11" fillId="3" borderId="45" xfId="0" applyNumberFormat="1" applyFont="1" applyFill="1" applyBorder="1" applyAlignment="1">
      <x:alignment wrapText="1"/>
    </x:xf>
    <x:xf numFmtId="0" fontId="11" fillId="3" borderId="46" xfId="0" applyNumberFormat="1" applyFont="1" applyFill="1" applyBorder="1" applyAlignment="1">
      <x:alignment wrapText="1"/>
    </x:xf>
    <x:xf numFmtId="0" fontId="11" fillId="3" borderId="4" xfId="0" applyNumberFormat="1" applyFont="1" applyFill="1" applyBorder="1" applyAlignment="1">
      <x:alignment wrapText="1"/>
    </x:xf>
    <x:xf numFmtId="0" fontId="11" fillId="3" borderId="47" xfId="0" applyNumberFormat="1" applyFont="1" applyFill="1" applyBorder="1" applyAlignment="1">
      <x:alignment wrapText="1"/>
    </x:xf>
    <x:xf numFmtId="0" fontId="11" fillId="3" borderId="41" xfId="0" applyNumberFormat="1" applyFont="1" applyFill="1" applyBorder="1" applyAlignment="1">
      <x:alignment vertical="center" wrapText="1"/>
    </x:xf>
    <x:xf numFmtId="0" fontId="11" fillId="3" borderId="42" xfId="0" applyNumberFormat="1" applyFont="1" applyFill="1" applyBorder="1" applyAlignment="1">
      <x:alignment vertical="center" wrapText="1"/>
    </x:xf>
    <x:xf numFmtId="0" fontId="11" fillId="3" borderId="43" xfId="0" applyNumberFormat="1" applyFont="1" applyFill="1" applyBorder="1" applyAlignment="1">
      <x:alignment vertical="center" wrapText="1"/>
    </x:xf>
    <x:xf numFmtId="0" fontId="11" fillId="3" borderId="44" xfId="0" applyNumberFormat="1" applyFont="1" applyFill="1" applyBorder="1" applyAlignment="1">
      <x:alignment vertical="center" wrapText="1"/>
    </x:xf>
    <x:xf numFmtId="0" fontId="11" fillId="3" borderId="0" xfId="0" applyNumberFormat="1" applyFont="1" applyFill="1" applyBorder="1" applyAlignment="1">
      <x:alignment vertical="center" wrapText="1"/>
    </x:xf>
    <x:xf numFmtId="0" fontId="11" fillId="3" borderId="45" xfId="0" applyNumberFormat="1" applyFont="1" applyFill="1" applyBorder="1" applyAlignment="1">
      <x:alignment vertical="center" wrapText="1"/>
    </x:xf>
    <x:xf numFmtId="0" fontId="11" fillId="3" borderId="46" xfId="0" applyNumberFormat="1" applyFont="1" applyFill="1" applyBorder="1" applyAlignment="1">
      <x:alignment vertical="center" wrapText="1"/>
    </x:xf>
    <x:xf numFmtId="0" fontId="11" fillId="3" borderId="4" xfId="0" applyNumberFormat="1" applyFont="1" applyFill="1" applyBorder="1" applyAlignment="1">
      <x:alignment vertical="center" wrapText="1"/>
    </x:xf>
    <x:xf numFmtId="0" fontId="11" fillId="3" borderId="47" xfId="0" applyNumberFormat="1" applyFont="1" applyFill="1" applyBorder="1" applyAlignment="1">
      <x:alignment vertical="center" wrapText="1"/>
    </x:xf>
    <x:xf numFmtId="0" fontId="13" fillId="2" borderId="0" xfId="0" applyNumberFormat="1" applyFont="1" applyFill="1" applyBorder="1" applyAlignment="1">
      <x:alignment horizontal="left" vertical="center"/>
    </x:xf>
    <x:xf numFmtId="0" fontId="14" fillId="3" borderId="0" xfId="0" applyNumberFormat="1" applyFont="1" applyFill="1" applyBorder="1" applyAlignment="1">
      <x:alignment horizontal="left" vertical="center"/>
    </x:xf>
    <x:xf numFmtId="0" fontId="15" fillId="0" borderId="0" xfId="0" applyNumberFormat="1" applyFont="1" applyFill="1" applyBorder="1"/>
    <x:xf numFmtId="0" fontId="13" fillId="6" borderId="5" xfId="0" applyNumberFormat="1" applyFont="1" applyFill="1" applyBorder="1" applyAlignment="1">
      <x:alignment horizontal="center" vertical="center"/>
    </x:xf>
    <x:xf numFmtId="0" fontId="13" fillId="6" borderId="6" xfId="0" applyNumberFormat="1" applyFont="1" applyFill="1" applyBorder="1" applyAlignment="1">
      <x:alignment horizontal="center" vertical="center"/>
    </x:xf>
    <x:xf numFmtId="0" fontId="13" fillId="6" borderId="7" xfId="0" applyNumberFormat="1" applyFont="1" applyFill="1" applyBorder="1" applyAlignment="1">
      <x:alignment horizontal="center" vertical="center"/>
    </x:xf>
    <x:xf numFmtId="0" fontId="13" fillId="8" borderId="14" xfId="0" applyNumberFormat="1" applyFont="1" applyFill="1" applyBorder="1" applyAlignment="1">
      <x:alignment horizontal="center" vertical="center"/>
    </x:xf>
    <x:xf numFmtId="0" fontId="13" fillId="8" borderId="15" xfId="0" applyNumberFormat="1" applyFont="1" applyFill="1" applyBorder="1" applyAlignment="1">
      <x:alignment horizontal="center" vertical="center"/>
    </x:xf>
    <x:xf numFmtId="0" fontId="13" fillId="8" borderId="16" xfId="0" applyNumberFormat="1" applyFont="1" applyFill="1" applyBorder="1" applyAlignment="1">
      <x:alignment horizontal="center" vertical="center"/>
    </x:xf>
    <x:xf numFmtId="0" fontId="13" fillId="9" borderId="23" xfId="0" applyNumberFormat="1" applyFont="1" applyFill="1" applyBorder="1" applyAlignment="1">
      <x:alignment horizontal="center" vertical="center"/>
    </x:xf>
    <x:xf numFmtId="0" fontId="13" fillId="9" borderId="24" xfId="0" applyNumberFormat="1" applyFont="1" applyFill="1" applyBorder="1" applyAlignment="1">
      <x:alignment horizontal="center" vertical="center"/>
    </x:xf>
    <x:xf numFmtId="0" fontId="13" fillId="9" borderId="25" xfId="0" applyNumberFormat="1" applyFont="1" applyFill="1" applyBorder="1" applyAlignment="1">
      <x:alignment horizontal="center" vertical="center"/>
    </x:xf>
    <x:xf numFmtId="0" fontId="13" fillId="10" borderId="32" xfId="0" applyNumberFormat="1" applyFont="1" applyFill="1" applyBorder="1" applyAlignment="1">
      <x:alignment horizontal="center" vertical="center"/>
    </x:xf>
    <x:xf numFmtId="0" fontId="13" fillId="10" borderId="33" xfId="0" applyNumberFormat="1" applyFont="1" applyFill="1" applyBorder="1" applyAlignment="1">
      <x:alignment horizontal="center" vertical="center"/>
    </x:xf>
    <x:xf numFmtId="0" fontId="13" fillId="10" borderId="34" xfId="0" applyNumberFormat="1" applyFont="1" applyFill="1" applyBorder="1" applyAlignment="1">
      <x:alignment horizontal="center" vertical="center"/>
    </x:xf>
    <x:xf numFmtId="202" fontId="13" fillId="7" borderId="8" xfId="0" applyNumberFormat="1" applyFont="1" applyFill="1" applyBorder="1" applyAlignment="1">
      <x:alignment horizontal="center" vertical="center"/>
    </x:xf>
    <x:xf numFmtId="202" fontId="13" fillId="7" borderId="9" xfId="0" applyNumberFormat="1" applyFont="1" applyFill="1" applyBorder="1" applyAlignment="1">
      <x:alignment horizontal="center" vertical="center"/>
    </x:xf>
    <x:xf numFmtId="202" fontId="13" fillId="7" borderId="10" xfId="0" applyNumberFormat="1" applyFont="1" applyFill="1" applyBorder="1" applyAlignment="1">
      <x:alignment horizontal="center" vertical="center"/>
    </x:xf>
    <x:xf numFmtId="201" fontId="13" fillId="7" borderId="17" xfId="0" applyNumberFormat="1" applyFont="1" applyFill="1" applyBorder="1" applyAlignment="1">
      <x:alignment horizontal="center" vertical="center"/>
    </x:xf>
    <x:xf numFmtId="201" fontId="13" fillId="7" borderId="18" xfId="0" applyNumberFormat="1" applyFont="1" applyFill="1" applyBorder="1" applyAlignment="1">
      <x:alignment horizontal="center" vertical="center"/>
    </x:xf>
    <x:xf numFmtId="201" fontId="13" fillId="7" borderId="19" xfId="0" applyNumberFormat="1" applyFont="1" applyFill="1" applyBorder="1" applyAlignment="1">
      <x:alignment horizontal="center" vertical="center"/>
    </x:xf>
    <x:xf numFmtId="203" fontId="13" fillId="7" borderId="26" xfId="0" applyNumberFormat="1" applyFont="1" applyFill="1" applyBorder="1" applyAlignment="1">
      <x:alignment horizontal="center" vertical="center"/>
    </x:xf>
    <x:xf numFmtId="203" fontId="13" fillId="7" borderId="27" xfId="0" applyNumberFormat="1" applyFont="1" applyFill="1" applyBorder="1" applyAlignment="1">
      <x:alignment horizontal="center" vertical="center"/>
    </x:xf>
    <x:xf numFmtId="203" fontId="13" fillId="7" borderId="28" xfId="0" applyNumberFormat="1" applyFont="1" applyFill="1" applyBorder="1" applyAlignment="1">
      <x:alignment horizontal="center" vertical="center"/>
    </x:xf>
    <x:xf numFmtId="201" fontId="13" fillId="7" borderId="35" xfId="0" applyNumberFormat="1" applyFont="1" applyFill="1" applyBorder="1" applyAlignment="1">
      <x:alignment horizontal="center" vertical="center"/>
    </x:xf>
    <x:xf numFmtId="201" fontId="13" fillId="7" borderId="36" xfId="0" applyNumberFormat="1" applyFont="1" applyFill="1" applyBorder="1" applyAlignment="1">
      <x:alignment horizontal="center" vertical="center"/>
    </x:xf>
    <x:xf numFmtId="201" fontId="13" fillId="7" borderId="37" xfId="0" applyNumberFormat="1" applyFont="1" applyFill="1" applyBorder="1" applyAlignment="1">
      <x:alignment horizontal="center" vertical="center"/>
    </x:xf>
    <x:xf numFmtId="202" fontId="13" fillId="7" borderId="11" xfId="0" applyNumberFormat="1" applyFont="1" applyFill="1" applyBorder="1" applyAlignment="1">
      <x:alignment horizontal="center" vertical="center"/>
    </x:xf>
    <x:xf numFmtId="202" fontId="13" fillId="7" borderId="12" xfId="0" applyNumberFormat="1" applyFont="1" applyFill="1" applyBorder="1" applyAlignment="1">
      <x:alignment horizontal="center" vertical="center"/>
    </x:xf>
    <x:xf numFmtId="202" fontId="13" fillId="7" borderId="13" xfId="0" applyNumberFormat="1" applyFont="1" applyFill="1" applyBorder="1" applyAlignment="1">
      <x:alignment horizontal="center" vertical="center"/>
    </x:xf>
    <x:xf numFmtId="201" fontId="13" fillId="7" borderId="20" xfId="0" applyNumberFormat="1" applyFont="1" applyFill="1" applyBorder="1" applyAlignment="1">
      <x:alignment horizontal="center" vertical="center"/>
    </x:xf>
    <x:xf numFmtId="201" fontId="13" fillId="7" borderId="21" xfId="0" applyNumberFormat="1" applyFont="1" applyFill="1" applyBorder="1" applyAlignment="1">
      <x:alignment horizontal="center" vertical="center"/>
    </x:xf>
    <x:xf numFmtId="201" fontId="13" fillId="7" borderId="22" xfId="0" applyNumberFormat="1" applyFont="1" applyFill="1" applyBorder="1" applyAlignment="1">
      <x:alignment horizontal="center" vertical="center"/>
    </x:xf>
    <x:xf numFmtId="203" fontId="13" fillId="7" borderId="29" xfId="0" applyNumberFormat="1" applyFont="1" applyFill="1" applyBorder="1" applyAlignment="1">
      <x:alignment horizontal="center" vertical="center"/>
    </x:xf>
    <x:xf numFmtId="203" fontId="13" fillId="7" borderId="30" xfId="0" applyNumberFormat="1" applyFont="1" applyFill="1" applyBorder="1" applyAlignment="1">
      <x:alignment horizontal="center" vertical="center"/>
    </x:xf>
    <x:xf numFmtId="203" fontId="13" fillId="7" borderId="31" xfId="0" applyNumberFormat="1" applyFont="1" applyFill="1" applyBorder="1" applyAlignment="1">
      <x:alignment horizontal="center" vertical="center"/>
    </x:xf>
    <x:xf numFmtId="201" fontId="13" fillId="7" borderId="38" xfId="0" applyNumberFormat="1" applyFont="1" applyFill="1" applyBorder="1" applyAlignment="1">
      <x:alignment horizontal="center" vertical="center"/>
    </x:xf>
    <x:xf numFmtId="201" fontId="13" fillId="7" borderId="39" xfId="0" applyNumberFormat="1" applyFont="1" applyFill="1" applyBorder="1" applyAlignment="1">
      <x:alignment horizontal="center" vertical="center"/>
    </x:xf>
    <x:xf numFmtId="201" fontId="13" fillId="7" borderId="40" xfId="0" applyNumberFormat="1" applyFont="1" applyFill="1" applyBorder="1" applyAlignment="1">
      <x:alignment horizontal="center" vertical="center"/>
    </x:xf>
    <x:xf numFmtId="0" fontId="13" fillId="4" borderId="0" xfId="0" applyNumberFormat="1" applyFont="1" applyFill="1" applyBorder="1" applyAlignment="1">
      <x:alignment horizontal="left" vertical="center"/>
    </x:xf>
    <x:xf numFmtId="0" fontId="13" fillId="6" borderId="0" xfId="0" applyNumberFormat="1" applyFont="1" applyFill="1" applyBorder="1" applyAlignment="1">
      <x:alignment horizontal="left" vertical="center"/>
    </x:xf>
    <x:xf numFmtId="0" fontId="13" fillId="3" borderId="41" xfId="0" applyNumberFormat="1" applyFont="1" applyFill="1" applyBorder="1" applyAlignment="1">
      <x:alignment vertical="center"/>
    </x:xf>
    <x:xf numFmtId="0" fontId="13" fillId="3" borderId="42" xfId="0" applyNumberFormat="1" applyFont="1" applyFill="1" applyBorder="1" applyAlignment="1">
      <x:alignment vertical="center"/>
    </x:xf>
    <x:xf numFmtId="0" fontId="15" fillId="7" borderId="42" xfId="0" applyNumberFormat="1" applyFont="1" applyFill="1" applyBorder="1" applyAlignment="1">
      <x:alignment vertical="center" wrapText="1"/>
    </x:xf>
    <x:xf numFmtId="0" fontId="15" fillId="7" borderId="43" xfId="0" applyNumberFormat="1" applyFont="1" applyFill="1" applyBorder="1" applyAlignment="1">
      <x:alignment vertical="center" wrapText="1"/>
    </x:xf>
    <x:xf numFmtId="0" fontId="13" fillId="3" borderId="41" xfId="0" applyNumberFormat="1" applyFont="1" applyFill="1" applyBorder="1" applyAlignment="1">
      <x:alignment vertical="center" wrapText="1"/>
    </x:xf>
    <x:xf numFmtId="0" fontId="13" fillId="3" borderId="42" xfId="0" applyNumberFormat="1" applyFont="1" applyFill="1" applyBorder="1" applyAlignment="1">
      <x:alignment vertical="center" wrapText="1"/>
    </x:xf>
    <x:xf numFmtId="0" fontId="13" fillId="7" borderId="43" xfId="0" applyNumberFormat="1" applyFont="1" applyFill="1" applyBorder="1" applyAlignment="1">
      <x:alignment horizontal="center" vertical="center"/>
    </x:xf>
    <x:xf numFmtId="0" fontId="13" fillId="3" borderId="44" xfId="0" applyNumberFormat="1" applyFont="1" applyFill="1" applyBorder="1" applyAlignment="1">
      <x:alignment vertical="center"/>
    </x:xf>
    <x:xf numFmtId="0" fontId="13" fillId="3" borderId="0" xfId="0" applyNumberFormat="1" applyFont="1" applyFill="1" applyBorder="1" applyAlignment="1">
      <x:alignment vertical="center"/>
    </x:xf>
    <x:xf numFmtId="0" fontId="15" fillId="7" borderId="0" xfId="0" applyNumberFormat="1" applyFont="1" applyFill="1" applyBorder="1" applyAlignment="1">
      <x:alignment vertical="center" wrapText="1"/>
    </x:xf>
    <x:xf numFmtId="0" fontId="15" fillId="7" borderId="45" xfId="0" applyNumberFormat="1" applyFont="1" applyFill="1" applyBorder="1" applyAlignment="1">
      <x:alignment vertical="center" wrapText="1"/>
    </x:xf>
    <x:xf numFmtId="0" fontId="13" fillId="3" borderId="44" xfId="0" applyNumberFormat="1" applyFont="1" applyFill="1" applyBorder="1" applyAlignment="1">
      <x:alignment vertical="center" wrapText="1"/>
    </x:xf>
    <x:xf numFmtId="0" fontId="13" fillId="3" borderId="0" xfId="0" applyNumberFormat="1" applyFont="1" applyFill="1" applyBorder="1" applyAlignment="1">
      <x:alignment vertical="center" wrapText="1"/>
    </x:xf>
    <x:xf numFmtId="0" fontId="13" fillId="7" borderId="45" xfId="0" applyNumberFormat="1" applyFont="1" applyFill="1" applyBorder="1" applyAlignment="1">
      <x:alignment horizontal="center" vertical="center"/>
    </x:xf>
    <x:xf numFmtId="0" fontId="13" fillId="3" borderId="46" xfId="0" applyNumberFormat="1" applyFont="1" applyFill="1" applyBorder="1" applyAlignment="1">
      <x:alignment vertical="center"/>
    </x:xf>
    <x:xf numFmtId="0" fontId="13" fillId="3" borderId="4" xfId="0" applyNumberFormat="1" applyFont="1" applyFill="1" applyBorder="1" applyAlignment="1">
      <x:alignment vertical="center"/>
    </x:xf>
    <x:xf numFmtId="0" fontId="15" fillId="7" borderId="4" xfId="0" applyNumberFormat="1" applyFont="1" applyFill="1" applyBorder="1" applyAlignment="1">
      <x:alignment vertical="center" wrapText="1"/>
    </x:xf>
    <x:xf numFmtId="0" fontId="15" fillId="7" borderId="47" xfId="0" applyNumberFormat="1" applyFont="1" applyFill="1" applyBorder="1" applyAlignment="1">
      <x:alignment vertical="center" wrapText="1"/>
    </x:xf>
    <x:xf numFmtId="0" fontId="13" fillId="3" borderId="46" xfId="0" applyNumberFormat="1" applyFont="1" applyFill="1" applyBorder="1" applyAlignment="1">
      <x:alignment vertical="center" wrapText="1"/>
    </x:xf>
    <x:xf numFmtId="0" fontId="13" fillId="3" borderId="4" xfId="0" applyNumberFormat="1" applyFont="1" applyFill="1" applyBorder="1" applyAlignment="1">
      <x:alignment vertical="center" wrapText="1"/>
    </x:xf>
    <x:xf numFmtId="204" fontId="13" fillId="7" borderId="47" xfId="0" applyNumberFormat="1" applyFont="1" applyFill="1" applyBorder="1" applyAlignment="1">
      <x:alignment horizontal="center" vertical="center"/>
    </x:xf>
    <x:xf numFmtId="0" fontId="13" fillId="4" borderId="1" xfId="0" applyNumberFormat="1" applyFont="1" applyFill="1" applyBorder="1" applyAlignment="1">
      <x:alignment horizontal="center" vertical="center" wrapText="1"/>
    </x:xf>
    <x:xf numFmtId="0" fontId="13" fillId="4" borderId="2" xfId="0" applyNumberFormat="1" applyFont="1" applyFill="1" applyBorder="1" applyAlignment="1">
      <x:alignment horizontal="center" vertical="center" wrapText="1"/>
    </x:xf>
    <x:xf numFmtId="0" fontId="13" fillId="4" borderId="3" xfId="0" applyNumberFormat="1" applyFont="1" applyFill="1" applyBorder="1" applyAlignment="1">
      <x:alignment horizontal="center" vertical="center" wrapText="1"/>
    </x:xf>
    <x:xf numFmtId="202" fontId="15" fillId="0" borderId="0" xfId="0" applyNumberFormat="1" applyFont="1" applyFill="1" applyBorder="1"/>
    <x:xf numFmtId="0" fontId="15" fillId="0" borderId="4" xfId="0" applyNumberFormat="1" applyFont="1" applyFill="1" applyBorder="1"/>
    <x:xf numFmtId="202" fontId="15" fillId="0" borderId="4" xfId="0" applyNumberFormat="1" applyFont="1" applyFill="1" applyBorder="1"/>
    <x:xf numFmtId="203" fontId="15" fillId="0" borderId="0" xfId="0" applyNumberFormat="1" applyFont="1" applyFill="1" applyBorder="1"/>
    <x:xf numFmtId="203" fontId="15" fillId="0" borderId="4" xfId="0" applyNumberFormat="1" applyFont="1" applyFill="1" applyBorder="1"/>
    <x:xf numFmtId="0" fontId="15" fillId="3" borderId="41" xfId="0" applyNumberFormat="1" applyFont="1" applyFill="1" applyBorder="1" applyAlignment="1">
      <x:alignment vertical="center" wrapText="1"/>
    </x:xf>
    <x:xf numFmtId="0" fontId="15" fillId="3" borderId="42" xfId="0" applyNumberFormat="1" applyFont="1" applyFill="1" applyBorder="1" applyAlignment="1">
      <x:alignment vertical="center" wrapText="1"/>
    </x:xf>
    <x:xf numFmtId="0" fontId="15" fillId="3" borderId="43" xfId="0" applyNumberFormat="1" applyFont="1" applyFill="1" applyBorder="1" applyAlignment="1">
      <x:alignment vertical="center" wrapText="1"/>
    </x:xf>
    <x:xf numFmtId="0" fontId="15" fillId="3" borderId="44" xfId="0" applyNumberFormat="1" applyFont="1" applyFill="1" applyBorder="1" applyAlignment="1">
      <x:alignment vertical="center" wrapText="1"/>
    </x:xf>
    <x:xf numFmtId="0" fontId="15" fillId="3" borderId="0" xfId="0" applyNumberFormat="1" applyFont="1" applyFill="1" applyBorder="1" applyAlignment="1">
      <x:alignment vertical="center" wrapText="1"/>
    </x:xf>
    <x:xf numFmtId="0" fontId="15" fillId="3" borderId="45" xfId="0" applyNumberFormat="1" applyFont="1" applyFill="1" applyBorder="1" applyAlignment="1">
      <x:alignment vertical="center" wrapText="1"/>
    </x:xf>
    <x:xf numFmtId="0" fontId="15" fillId="3" borderId="46" xfId="0" applyNumberFormat="1" applyFont="1" applyFill="1" applyBorder="1" applyAlignment="1">
      <x:alignment vertical="center" wrapText="1"/>
    </x:xf>
    <x:xf numFmtId="0" fontId="15" fillId="3" borderId="4" xfId="0" applyNumberFormat="1" applyFont="1" applyFill="1" applyBorder="1" applyAlignment="1">
      <x:alignment vertical="center" wrapText="1"/>
    </x:xf>
    <x:xf numFmtId="0" fontId="15" fillId="3" borderId="47" xfId="0" applyNumberFormat="1" applyFont="1" applyFill="1" applyBorder="1" applyAlignment="1">
      <x:alignment vertical="center" wrapText="1"/>
    </x:xf>
    <x:xf numFmtId="200" fontId="15" fillId="0" borderId="0" xfId="0" applyNumberFormat="1" applyFont="1" applyFill="1" applyBorder="1"/>
    <x:xf numFmtId="0" fontId="15" fillId="0" borderId="0" xfId="0" applyNumberFormat="1" applyFont="1" applyFill="1" applyBorder="1" applyAlignment="1">
      <x:alignment wrapText="1"/>
    </x:xf>
    <x:xf numFmtId="203" fontId="15" fillId="0" borderId="0" xfId="0" applyNumberFormat="1" applyFont="1" applyFill="1" applyBorder="1" applyAlignment="1">
      <x:alignment horizontal="center"/>
    </x:xf>
    <x:xf numFmtId="0" fontId="15" fillId="0" borderId="0" xfId="0" applyNumberFormat="1" applyFont="1" applyFill="1" applyBorder="1" applyAlignment="1">
      <x:alignment horizontal="center"/>
    </x:xf>
    <x:xf numFmtId="204" fontId="15" fillId="0" borderId="0" xfId="0" applyNumberFormat="1" applyFont="1" applyFill="1" applyBorder="1"/>
    <x:xf numFmtId="201" fontId="15" fillId="0" borderId="0" xfId="0" applyNumberFormat="1" applyFont="1" applyFill="1" applyBorder="1"/>
    <x:xf numFmtId="205" fontId="15" fillId="0" borderId="0" xfId="0" applyNumberFormat="1" applyFont="1" applyFill="1" applyBorder="1"/>
    <x:xf numFmtId="202" fontId="15" fillId="0" borderId="0" xfId="0" applyNumberFormat="1" applyFont="1" applyFill="1" applyBorder="1" applyAlignment="1">
      <x:alignment wrapText="1"/>
    </x:xf>
    <x:xf numFmtId="0" fontId="15" fillId="0" borderId="0" xfId="0" applyNumberFormat="1" applyFont="1" applyFill="1" applyBorder="1" applyAlignment="1">
      <x:alignment vertical="center"/>
    </x:xf>
    <x:xf numFmtId="0" fontId="15" fillId="0" borderId="0" xfId="0" applyNumberFormat="1" applyFont="1" applyFill="1" applyBorder="1" applyAlignment="1">
      <x:alignment vertical="center" wrapText="1"/>
    </x:xf>
    <x:xf numFmtId="200" fontId="13" fillId="5" borderId="0" xfId="0" applyNumberFormat="1" applyFont="1" applyFill="1" applyBorder="1" applyAlignment="1">
      <x:alignment vertical="center" wrapText="1"/>
    </x:xf>
    <x:xf numFmtId="201" fontId="13" fillId="5" borderId="0" xfId="0" applyNumberFormat="1" applyFont="1" applyFill="1" applyBorder="1" applyAlignment="1">
      <x:alignment vertical="center" wrapText="1"/>
    </x:xf>
    <x:xf numFmtId="0" fontId="15" fillId="0" borderId="4" xfId="0" applyNumberFormat="1" applyFont="1" applyFill="1" applyBorder="1" applyAlignment="1">
      <x:alignment vertical="center" wrapText="1"/>
    </x:xf>
    <x:xf numFmtId="201" fontId="13" fillId="5" borderId="4" xfId="0" applyNumberFormat="1" applyFont="1" applyFill="1" applyBorder="1" applyAlignment="1">
      <x:alignment vertical="center" wrapText="1"/>
    </x:xf>
    <x:xf numFmtId="202" fontId="15" fillId="0" borderId="0" xfId="0" applyNumberFormat="1" applyFont="1" applyFill="1" applyBorder="1" applyAlignment="1">
      <x:alignment vertical="center" wrapText="1"/>
    </x:xf>
    <x:xf numFmtId="0" fontId="16" fillId="2" borderId="0" xfId="0" applyNumberFormat="1" applyFont="1" applyFill="1" applyBorder="1" applyAlignment="1">
      <x:alignment horizontal="left" vertical="center"/>
    </x:xf>
    <x:xf numFmtId="0" fontId="17" fillId="4" borderId="1" xfId="0" applyNumberFormat="1" applyFont="1" applyFill="1" applyBorder="1" applyAlignment="1">
      <x:alignment horizontal="center" vertical="center" wrapText="1"/>
    </x:xf>
    <x:xf numFmtId="0" fontId="17" fillId="4" borderId="2" xfId="0" applyNumberFormat="1" applyFont="1" applyFill="1" applyBorder="1" applyAlignment="1">
      <x:alignment horizontal="center" vertical="center" wrapText="1"/>
    </x:xf>
    <x:xf numFmtId="0" fontId="17" fillId="4" borderId="3" xfId="0" applyNumberFormat="1" applyFont="1" applyFill="1" applyBorder="1" applyAlignment="1">
      <x:alignment horizontal="center" vertical="center" wrapText="1"/>
    </x:xf>
    <x:xf numFmtId="0" fontId="18" fillId="6" borderId="5" xfId="0" applyNumberFormat="1" applyFont="1" applyFill="1" applyBorder="1" applyAlignment="1">
      <x:alignment horizontal="center" vertical="center"/>
    </x:xf>
    <x:xf numFmtId="0" fontId="18" fillId="6" borderId="6" xfId="0" applyNumberFormat="1" applyFont="1" applyFill="1" applyBorder="1" applyAlignment="1">
      <x:alignment horizontal="center" vertical="center"/>
    </x:xf>
    <x:xf numFmtId="0" fontId="18" fillId="6" borderId="7" xfId="0" applyNumberFormat="1" applyFont="1" applyFill="1" applyBorder="1" applyAlignment="1">
      <x:alignment horizontal="center" vertical="center"/>
    </x:xf>
    <x:xf numFmtId="202" fontId="19" fillId="7" borderId="8" xfId="0" applyNumberFormat="1" applyFont="1" applyFill="1" applyBorder="1" applyAlignment="1">
      <x:alignment horizontal="center" vertical="center"/>
    </x:xf>
    <x:xf numFmtId="202" fontId="19" fillId="7" borderId="9" xfId="0" applyNumberFormat="1" applyFont="1" applyFill="1" applyBorder="1" applyAlignment="1">
      <x:alignment horizontal="center" vertical="center"/>
    </x:xf>
    <x:xf numFmtId="202" fontId="19" fillId="7" borderId="10" xfId="0" applyNumberFormat="1" applyFont="1" applyFill="1" applyBorder="1" applyAlignment="1">
      <x:alignment horizontal="center" vertical="center"/>
    </x:xf>
    <x:xf numFmtId="202" fontId="19" fillId="7" borderId="11" xfId="0" applyNumberFormat="1" applyFont="1" applyFill="1" applyBorder="1" applyAlignment="1">
      <x:alignment horizontal="center" vertical="center"/>
    </x:xf>
    <x:xf numFmtId="202" fontId="19" fillId="7" borderId="12" xfId="0" applyNumberFormat="1" applyFont="1" applyFill="1" applyBorder="1" applyAlignment="1">
      <x:alignment horizontal="center" vertical="center"/>
    </x:xf>
    <x:xf numFmtId="202" fontId="19" fillId="7" borderId="13" xfId="0" applyNumberFormat="1" applyFont="1" applyFill="1" applyBorder="1" applyAlignment="1">
      <x:alignment horizontal="center" vertical="center"/>
    </x:xf>
    <x:xf numFmtId="0" fontId="18" fillId="8" borderId="14" xfId="0" applyNumberFormat="1" applyFont="1" applyFill="1" applyBorder="1" applyAlignment="1">
      <x:alignment horizontal="center" vertical="center"/>
    </x:xf>
    <x:xf numFmtId="0" fontId="18" fillId="8" borderId="15" xfId="0" applyNumberFormat="1" applyFont="1" applyFill="1" applyBorder="1" applyAlignment="1">
      <x:alignment horizontal="center" vertical="center"/>
    </x:xf>
    <x:xf numFmtId="0" fontId="18" fillId="8" borderId="16" xfId="0" applyNumberFormat="1" applyFont="1" applyFill="1" applyBorder="1" applyAlignment="1">
      <x:alignment horizontal="center" vertical="center"/>
    </x:xf>
    <x:xf numFmtId="201" fontId="20" fillId="7" borderId="17" xfId="0" applyNumberFormat="1" applyFont="1" applyFill="1" applyBorder="1" applyAlignment="1">
      <x:alignment horizontal="center" vertical="center"/>
    </x:xf>
    <x:xf numFmtId="201" fontId="20" fillId="7" borderId="18" xfId="0" applyNumberFormat="1" applyFont="1" applyFill="1" applyBorder="1" applyAlignment="1">
      <x:alignment horizontal="center" vertical="center"/>
    </x:xf>
    <x:xf numFmtId="201" fontId="20" fillId="7" borderId="19" xfId="0" applyNumberFormat="1" applyFont="1" applyFill="1" applyBorder="1" applyAlignment="1">
      <x:alignment horizontal="center" vertical="center"/>
    </x:xf>
    <x:xf numFmtId="201" fontId="20" fillId="7" borderId="20" xfId="0" applyNumberFormat="1" applyFont="1" applyFill="1" applyBorder="1" applyAlignment="1">
      <x:alignment horizontal="center" vertical="center"/>
    </x:xf>
    <x:xf numFmtId="201" fontId="20" fillId="7" borderId="21" xfId="0" applyNumberFormat="1" applyFont="1" applyFill="1" applyBorder="1" applyAlignment="1">
      <x:alignment horizontal="center" vertical="center"/>
    </x:xf>
    <x:xf numFmtId="201" fontId="20" fillId="7" borderId="22" xfId="0" applyNumberFormat="1" applyFont="1" applyFill="1" applyBorder="1" applyAlignment="1">
      <x:alignment horizontal="center" vertical="center"/>
    </x:xf>
    <x:xf numFmtId="0" fontId="18" fillId="9" borderId="23" xfId="0" applyNumberFormat="1" applyFont="1" applyFill="1" applyBorder="1" applyAlignment="1">
      <x:alignment horizontal="center" vertical="center"/>
    </x:xf>
    <x:xf numFmtId="0" fontId="18" fillId="9" borderId="24" xfId="0" applyNumberFormat="1" applyFont="1" applyFill="1" applyBorder="1" applyAlignment="1">
      <x:alignment horizontal="center" vertical="center"/>
    </x:xf>
    <x:xf numFmtId="0" fontId="18" fillId="9" borderId="25" xfId="0" applyNumberFormat="1" applyFont="1" applyFill="1" applyBorder="1" applyAlignment="1">
      <x:alignment horizontal="center" vertical="center"/>
    </x:xf>
    <x:xf numFmtId="203" fontId="21" fillId="7" borderId="26" xfId="0" applyNumberFormat="1" applyFont="1" applyFill="1" applyBorder="1" applyAlignment="1">
      <x:alignment horizontal="center" vertical="center"/>
    </x:xf>
    <x:xf numFmtId="203" fontId="21" fillId="7" borderId="27" xfId="0" applyNumberFormat="1" applyFont="1" applyFill="1" applyBorder="1" applyAlignment="1">
      <x:alignment horizontal="center" vertical="center"/>
    </x:xf>
    <x:xf numFmtId="203" fontId="21" fillId="7" borderId="28" xfId="0" applyNumberFormat="1" applyFont="1" applyFill="1" applyBorder="1" applyAlignment="1">
      <x:alignment horizontal="center" vertical="center"/>
    </x:xf>
    <x:xf numFmtId="203" fontId="21" fillId="7" borderId="29" xfId="0" applyNumberFormat="1" applyFont="1" applyFill="1" applyBorder="1" applyAlignment="1">
      <x:alignment horizontal="center" vertical="center"/>
    </x:xf>
    <x:xf numFmtId="203" fontId="21" fillId="7" borderId="30" xfId="0" applyNumberFormat="1" applyFont="1" applyFill="1" applyBorder="1" applyAlignment="1">
      <x:alignment horizontal="center" vertical="center"/>
    </x:xf>
    <x:xf numFmtId="203" fontId="21" fillId="7" borderId="31" xfId="0" applyNumberFormat="1" applyFont="1" applyFill="1" applyBorder="1" applyAlignment="1">
      <x:alignment horizontal="center" vertical="center"/>
    </x:xf>
    <x:xf numFmtId="0" fontId="18" fillId="10" borderId="32" xfId="0" applyNumberFormat="1" applyFont="1" applyFill="1" applyBorder="1" applyAlignment="1">
      <x:alignment horizontal="center" vertical="center"/>
    </x:xf>
    <x:xf numFmtId="0" fontId="18" fillId="10" borderId="33" xfId="0" applyNumberFormat="1" applyFont="1" applyFill="1" applyBorder="1" applyAlignment="1">
      <x:alignment horizontal="center" vertical="center"/>
    </x:xf>
    <x:xf numFmtId="0" fontId="18" fillId="10" borderId="34" xfId="0" applyNumberFormat="1" applyFont="1" applyFill="1" applyBorder="1" applyAlignment="1">
      <x:alignment horizontal="center" vertical="center"/>
    </x:xf>
    <x:xf numFmtId="201" fontId="22" fillId="7" borderId="35" xfId="0" applyNumberFormat="1" applyFont="1" applyFill="1" applyBorder="1" applyAlignment="1">
      <x:alignment horizontal="center" vertical="center"/>
    </x:xf>
    <x:xf numFmtId="201" fontId="22" fillId="7" borderId="36" xfId="0" applyNumberFormat="1" applyFont="1" applyFill="1" applyBorder="1" applyAlignment="1">
      <x:alignment horizontal="center" vertical="center"/>
    </x:xf>
    <x:xf numFmtId="201" fontId="22" fillId="7" borderId="37" xfId="0" applyNumberFormat="1" applyFont="1" applyFill="1" applyBorder="1" applyAlignment="1">
      <x:alignment horizontal="center" vertical="center"/>
    </x:xf>
    <x:xf numFmtId="201" fontId="22" fillId="7" borderId="38" xfId="0" applyNumberFormat="1" applyFont="1" applyFill="1" applyBorder="1" applyAlignment="1">
      <x:alignment horizontal="center" vertical="center"/>
    </x:xf>
    <x:xf numFmtId="201" fontId="22" fillId="7" borderId="39" xfId="0" applyNumberFormat="1" applyFont="1" applyFill="1" applyBorder="1" applyAlignment="1">
      <x:alignment horizontal="center" vertical="center"/>
    </x:xf>
    <x:xf numFmtId="201" fontId="22" fillId="7" borderId="40" xfId="0" applyNumberFormat="1" applyFont="1" applyFill="1" applyBorder="1" applyAlignment="1">
      <x:alignment horizontal="center" vertical="center"/>
    </x:xf>
    <x:xf numFmtId="0" fontId="18" fillId="4" borderId="0" xfId="0" applyNumberFormat="1" applyFont="1" applyFill="1" applyBorder="1" applyAlignment="1">
      <x:alignment horizontal="left" vertical="center"/>
    </x:xf>
    <x:xf numFmtId="0" fontId="18" fillId="6" borderId="0" xfId="0" applyNumberFormat="1" applyFont="1" applyFill="1" applyBorder="1" applyAlignment="1">
      <x:alignment horizontal="left" vertical="center"/>
    </x:xf>
    <x:xf numFmtId="0" fontId="23" fillId="7" borderId="43" xfId="0" applyNumberFormat="1" applyFont="1" applyFill="1" applyBorder="1" applyAlignment="1">
      <x:alignment horizontal="center" vertical="center"/>
    </x:xf>
    <x:xf numFmtId="0" fontId="23" fillId="7" borderId="45" xfId="0" applyNumberFormat="1" applyFont="1" applyFill="1" applyBorder="1" applyAlignment="1">
      <x:alignment horizontal="center" vertical="center"/>
    </x:xf>
    <x:xf numFmtId="204" fontId="23" fillId="7" borderId="47" xfId="0" applyNumberFormat="1" applyFont="1" applyFill="1" applyBorder="1" applyAlignment="1">
      <x:alignment horizontal="center" vertical="center"/>
    </x:xf>
  </x:cellXfs>
  <x:cellStyles count="1">
    <x:cellStyle name="Normal" xfId="0"/>
  </x:cellStyles>
  <x:dxfs count="50">
    <x:dxf>
      <x:font>
        <x:b/>
        <x:color rgb="FF166534"/>
      </x:font>
      <x:fill>
        <x:patternFill patternType="solid">
          <x:bgColor rgb="FFDCFCE7"/>
        </x:patternFill>
      </x:fill>
    </x:dxf>
    <x:dxf>
      <x:font>
        <x:b/>
        <x:color rgb="FF1D4ED8"/>
      </x:font>
      <x:fill>
        <x:patternFill patternType="solid">
          <x:bgColor rgb="FFDBEAFE"/>
        </x:patternFill>
      </x:fill>
    </x:dxf>
    <x:dxf>
      <x:font>
        <x:b/>
        <x:color rgb="FF1D4ED8"/>
      </x:font>
      <x:fill>
        <x:patternFill patternType="solid">
          <x:bgColor rgb="FFDBEAFE"/>
        </x:patternFill>
      </x:fill>
    </x:dxf>
    <x:dxf>
      <x:font>
        <x:b/>
        <x:color rgb="FF991B1B"/>
      </x:font>
      <x:fill>
        <x:patternFill patternType="solid">
          <x:bgColor rgb="FFFEE2E2"/>
        </x:patternFill>
      </x:fill>
    </x:dxf>
    <x:dxf>
      <x:font>
        <x:b/>
        <x:color rgb="FF991B1B"/>
      </x:font>
      <x:fill>
        <x:patternFill patternType="solid">
          <x:bgColor rgb="FFFEE2E2"/>
        </x:patternFill>
      </x:fill>
    </x:dxf>
    <x:dxf>
      <x:font>
        <x:color rgb="FF64748B"/>
      </x:font>
      <x:fill>
        <x:patternFill patternType="solid">
          <x:bgColor rgb="FFF1F5F9"/>
        </x:patternFill>
      </x:fill>
    </x:dxf>
    <x:dxf>
      <x:font>
        <x:color rgb="FF64748B"/>
      </x:font>
      <x:fill>
        <x:patternFill patternType="solid">
          <x:bgColor rgb="FFF1F5F9"/>
        </x:patternFill>
      </x:fill>
    </x:dxf>
    <x:dxf>
      <x:font>
        <x:b/>
        <x:color rgb="FF92400E"/>
      </x:font>
      <x:fill>
        <x:patternFill patternType="solid">
          <x:bgColor rgb="FFFEF3C7"/>
        </x:patternFill>
      </x:fill>
    </x:dxf>
    <x:dxf>
      <x:font>
        <x:b/>
        <x:color rgb="FF166534"/>
      </x:font>
      <x:fill>
        <x:patternFill patternType="solid">
          <x:bgColor rgb="FFDCFCE7"/>
        </x:patternFill>
      </x:fill>
    </x:dxf>
    <x:dxf>
      <x:font>
        <x:b/>
        <x:color rgb="FF1D4ED8"/>
      </x:font>
      <x:fill>
        <x:patternFill patternType="solid">
          <x:bgColor rgb="FFDBEAFE"/>
        </x:patternFill>
      </x:fill>
    </x:dxf>
    <x:dxf>
      <x:font>
        <x:b/>
        <x:color rgb="FF1D4ED8"/>
      </x:font>
      <x:fill>
        <x:patternFill patternType="solid">
          <x:bgColor rgb="FFDBEAFE"/>
        </x:patternFill>
      </x:fill>
    </x:dxf>
    <x:dxf>
      <x:font>
        <x:b/>
        <x:color rgb="FF991B1B"/>
      </x:font>
      <x:fill>
        <x:patternFill patternType="solid">
          <x:bgColor rgb="FFFEE2E2"/>
        </x:patternFill>
      </x:fill>
    </x:dxf>
    <x:dxf>
      <x:font>
        <x:b/>
        <x:color rgb="FF991B1B"/>
      </x:font>
      <x:fill>
        <x:patternFill patternType="solid">
          <x:bgColor rgb="FFFEE2E2"/>
        </x:patternFill>
      </x:fill>
    </x:dxf>
    <x:dxf>
      <x:font>
        <x:color rgb="FF64748B"/>
      </x:font>
      <x:fill>
        <x:patternFill patternType="solid">
          <x:bgColor rgb="FFF1F5F9"/>
        </x:patternFill>
      </x:fill>
    </x:dxf>
    <x:dxf>
      <x:font>
        <x:color rgb="FF64748B"/>
      </x:font>
      <x:fill>
        <x:patternFill patternType="solid">
          <x:bgColor rgb="FFF1F5F9"/>
        </x:patternFill>
      </x:fill>
    </x:dxf>
    <x:dxf>
      <x:font>
        <x:b/>
        <x:color rgb="FF92400E"/>
      </x:font>
      <x:fill>
        <x:patternFill patternType="solid">
          <x:bgColor rgb="FFFEF3C7"/>
        </x:patternFill>
      </x:fill>
    </x:dxf>
    <x:dxf>
      <x:font>
        <x:b/>
        <x:color rgb="FF166534"/>
      </x:font>
      <x:fill>
        <x:patternFill patternType="solid">
          <x:bgColor rgb="FFDCFCE7"/>
        </x:patternFill>
      </x:fill>
    </x:dxf>
    <x:dxf>
      <x:font>
        <x:b/>
        <x:color rgb="FF1D4ED8"/>
      </x:font>
      <x:fill>
        <x:patternFill patternType="solid">
          <x:bgColor rgb="FFDBEAFE"/>
        </x:patternFill>
      </x:fill>
    </x:dxf>
    <x:dxf>
      <x:font>
        <x:b/>
        <x:color rgb="FF1D4ED8"/>
      </x:font>
      <x:fill>
        <x:patternFill patternType="solid">
          <x:bgColor rgb="FFDBEAFE"/>
        </x:patternFill>
      </x:fill>
    </x:dxf>
    <x:dxf>
      <x:font>
        <x:b/>
        <x:color rgb="FF991B1B"/>
      </x:font>
      <x:fill>
        <x:patternFill patternType="solid">
          <x:bgColor rgb="FFFEE2E2"/>
        </x:patternFill>
      </x:fill>
    </x:dxf>
    <x:dxf>
      <x:font>
        <x:b/>
        <x:color rgb="FF991B1B"/>
      </x:font>
      <x:fill>
        <x:patternFill patternType="solid">
          <x:bgColor rgb="FFFEE2E2"/>
        </x:patternFill>
      </x:fill>
    </x:dxf>
    <x:dxf>
      <x:font>
        <x:color rgb="FF64748B"/>
      </x:font>
      <x:fill>
        <x:patternFill patternType="solid">
          <x:bgColor rgb="FFF1F5F9"/>
        </x:patternFill>
      </x:fill>
    </x:dxf>
    <x:dxf>
      <x:font>
        <x:color rgb="FF64748B"/>
      </x:font>
      <x:fill>
        <x:patternFill patternType="solid">
          <x:bgColor rgb="FFF1F5F9"/>
        </x:patternFill>
      </x:fill>
    </x:dxf>
    <x:dxf>
      <x:font>
        <x:b/>
        <x:color rgb="FF92400E"/>
      </x:font>
      <x:fill>
        <x:patternFill patternType="solid">
          <x:bgColor rgb="FFFEF3C7"/>
        </x:patternFill>
      </x:fill>
    </x:dxf>
    <x:dxf>
      <x:font>
        <x:b/>
        <x:color rgb="FF9F2E22"/>
      </x:font>
      <x:fill>
        <x:patternFill patternType="solid">
          <x:bgColor rgb="FFFBE9E6"/>
        </x:patternFill>
      </x:fill>
    </x:dxf>
    <x:dxf>
      <x:font>
        <x:color rgb="FF92400E"/>
      </x:font>
      <x:fill>
        <x:patternFill patternType="solid">
          <x:bgColor rgb="FFFEF3C7"/>
        </x:patternFill>
      </x:fill>
    </x:dxf>
    <x:dxf>
      <x:font>
        <x:b/>
        <x:color rgb="FF166534"/>
      </x:font>
      <x:fill>
        <x:patternFill patternType="solid">
          <x:bgColor rgb="FFDCFCE7"/>
        </x:patternFill>
      </x:fill>
    </x:dxf>
    <x:dxf>
      <x:font>
        <x:b/>
        <x:color rgb="FF1D4ED8"/>
      </x:font>
      <x:fill>
        <x:patternFill patternType="solid">
          <x:bgColor rgb="FFDBEAFE"/>
        </x:patternFill>
      </x:fill>
    </x:dxf>
    <x:dxf>
      <x:font>
        <x:b/>
        <x:color rgb="FF1D4ED8"/>
      </x:font>
      <x:fill>
        <x:patternFill patternType="solid">
          <x:bgColor rgb="FFDBEAFE"/>
        </x:patternFill>
      </x:fill>
    </x:dxf>
    <x:dxf>
      <x:font>
        <x:b/>
        <x:color rgb="FF991B1B"/>
      </x:font>
      <x:fill>
        <x:patternFill patternType="solid">
          <x:bgColor rgb="FFFEE2E2"/>
        </x:patternFill>
      </x:fill>
    </x:dxf>
    <x:dxf>
      <x:font>
        <x:b/>
        <x:color rgb="FF991B1B"/>
      </x:font>
      <x:fill>
        <x:patternFill patternType="solid">
          <x:bgColor rgb="FFFEE2E2"/>
        </x:patternFill>
      </x:fill>
    </x:dxf>
    <x:dxf>
      <x:font>
        <x:color rgb="FF64748B"/>
      </x:font>
      <x:fill>
        <x:patternFill patternType="solid">
          <x:bgColor rgb="FFF1F5F9"/>
        </x:patternFill>
      </x:fill>
    </x:dxf>
    <x:dxf>
      <x:font>
        <x:color rgb="FF64748B"/>
      </x:font>
      <x:fill>
        <x:patternFill patternType="solid">
          <x:bgColor rgb="FFF1F5F9"/>
        </x:patternFill>
      </x:fill>
    </x:dxf>
    <x:dxf>
      <x:font>
        <x:b/>
        <x:color rgb="FF92400E"/>
      </x:font>
      <x:fill>
        <x:patternFill patternType="solid">
          <x:bgColor rgb="FFFEF3C7"/>
        </x:patternFill>
      </x:fill>
    </x:dxf>
    <x:dxf>
      <x:font>
        <x:b/>
        <x:color rgb="FF166534"/>
      </x:font>
      <x:fill>
        <x:patternFill patternType="solid">
          <x:bgColor rgb="FFDCFCE7"/>
        </x:patternFill>
      </x:fill>
    </x:dxf>
    <x:dxf>
      <x:font>
        <x:b/>
        <x:color rgb="FF1D4ED8"/>
      </x:font>
      <x:fill>
        <x:patternFill patternType="solid">
          <x:bgColor rgb="FFDBEAFE"/>
        </x:patternFill>
      </x:fill>
    </x:dxf>
    <x:dxf>
      <x:font>
        <x:b/>
        <x:color rgb="FF1D4ED8"/>
      </x:font>
      <x:fill>
        <x:patternFill patternType="solid">
          <x:bgColor rgb="FFDBEAFE"/>
        </x:patternFill>
      </x:fill>
    </x:dxf>
    <x:dxf>
      <x:font>
        <x:b/>
        <x:color rgb="FF991B1B"/>
      </x:font>
      <x:fill>
        <x:patternFill patternType="solid">
          <x:bgColor rgb="FFFEE2E2"/>
        </x:patternFill>
      </x:fill>
    </x:dxf>
    <x:dxf>
      <x:font>
        <x:b/>
        <x:color rgb="FF991B1B"/>
      </x:font>
      <x:fill>
        <x:patternFill patternType="solid">
          <x:bgColor rgb="FFFEE2E2"/>
        </x:patternFill>
      </x:fill>
    </x:dxf>
    <x:dxf>
      <x:font>
        <x:color rgb="FF64748B"/>
      </x:font>
      <x:fill>
        <x:patternFill patternType="solid">
          <x:bgColor rgb="FFF1F5F9"/>
        </x:patternFill>
      </x:fill>
    </x:dxf>
    <x:dxf>
      <x:font>
        <x:color rgb="FF64748B"/>
      </x:font>
      <x:fill>
        <x:patternFill patternType="solid">
          <x:bgColor rgb="FFF1F5F9"/>
        </x:patternFill>
      </x:fill>
    </x:dxf>
    <x:dxf>
      <x:font>
        <x:b/>
        <x:color rgb="FF92400E"/>
      </x:font>
      <x:fill>
        <x:patternFill patternType="solid">
          <x:bgColor rgb="FFFEF3C7"/>
        </x:patternFill>
      </x:fill>
    </x:dxf>
    <x:dxf>
      <x:font>
        <x:b/>
        <x:color rgb="FF166534"/>
      </x:font>
      <x:fill>
        <x:patternFill patternType="solid">
          <x:bgColor rgb="FFDCFCE7"/>
        </x:patternFill>
      </x:fill>
    </x:dxf>
    <x:dxf>
      <x:font>
        <x:b/>
        <x:color rgb="FF1D4ED8"/>
      </x:font>
      <x:fill>
        <x:patternFill patternType="solid">
          <x:bgColor rgb="FFDBEAFE"/>
        </x:patternFill>
      </x:fill>
    </x:dxf>
    <x:dxf>
      <x:font>
        <x:b/>
        <x:color rgb="FF1D4ED8"/>
      </x:font>
      <x:fill>
        <x:patternFill patternType="solid">
          <x:bgColor rgb="FFDBEAFE"/>
        </x:patternFill>
      </x:fill>
    </x:dxf>
    <x:dxf>
      <x:font>
        <x:b/>
        <x:color rgb="FF991B1B"/>
      </x:font>
      <x:fill>
        <x:patternFill patternType="solid">
          <x:bgColor rgb="FFFEE2E2"/>
        </x:patternFill>
      </x:fill>
    </x:dxf>
    <x:dxf>
      <x:font>
        <x:b/>
        <x:color rgb="FF991B1B"/>
      </x:font>
      <x:fill>
        <x:patternFill patternType="solid">
          <x:bgColor rgb="FFFEE2E2"/>
        </x:patternFill>
      </x:fill>
    </x:dxf>
    <x:dxf>
      <x:font>
        <x:color rgb="FF64748B"/>
      </x:font>
      <x:fill>
        <x:patternFill patternType="solid">
          <x:bgColor rgb="FFF1F5F9"/>
        </x:patternFill>
      </x:fill>
    </x:dxf>
    <x:dxf>
      <x:font>
        <x:color rgb="FF64748B"/>
      </x:font>
      <x:fill>
        <x:patternFill patternType="solid">
          <x:bgColor rgb="FFF1F5F9"/>
        </x:patternFill>
      </x:fill>
    </x:dxf>
    <x:dxf>
      <x:font>
        <x:b/>
        <x:color rgb="FF92400E"/>
      </x:font>
      <x:fill>
        <x:patternFill patternType="solid">
          <x:bgColor rgb="FFFEF3C7"/>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9206e9ad43b34bbd" /><Relationship Type="http://schemas.openxmlformats.org/officeDocument/2006/relationships/theme" Target="/xl/theme/theme1.xml" Id="R7bc3691488be41a9" /><Relationship Type="http://schemas.openxmlformats.org/officeDocument/2006/relationships/sharedStrings" Target="/xl/sharedStrings.xml" Id="Rd8b4985de7f544df" /><Relationship Type="http://schemas.openxmlformats.org/officeDocument/2006/relationships/worksheet" Target="/xl/worksheets/sheet1.xml" Id="R264a2f3c1a0d49be" /><Relationship Type="http://schemas.openxmlformats.org/officeDocument/2006/relationships/worksheet" Target="/xl/worksheets/sheet2.xml" Id="Rcd3a5b6a7a0a4004" /><Relationship Type="http://schemas.openxmlformats.org/officeDocument/2006/relationships/worksheet" Target="/xl/worksheets/sheet3.xml" Id="R279b161fe3584199" /><Relationship Type="http://schemas.openxmlformats.org/officeDocument/2006/relationships/worksheet" Target="/xl/worksheets/sheet4.xml" Id="R1d7a602718404d31" /><Relationship Type="http://schemas.openxmlformats.org/officeDocument/2006/relationships/worksheet" Target="/xl/worksheets/sheet5.xml" Id="Ref85b4b32c3d47e8" /><Relationship Type="http://schemas.openxmlformats.org/officeDocument/2006/relationships/worksheet" Target="/xl/worksheets/sheet6.xml" Id="R80f41b8011c2471b" /><Relationship Type="http://schemas.openxmlformats.org/officeDocument/2006/relationships/worksheet" Target="/xl/worksheets/sheet7.xml" Id="Ra2a0f04b170b4558" /></Relationships>
</file>

<file path=xl/drawings/_rels/drawing1.xml.rels>&#65279;<?xml version="1.0" encoding="utf-8"?><Relationships xmlns="http://schemas.openxmlformats.org/package/2006/relationships"><Relationship Type="http://schemas.openxmlformats.org/officeDocument/2006/relationships/chart" Target="/xl/drawings/charts/chart1.xml" Id="R348d9d50ca094054" /><Relationship Type="http://schemas.openxmlformats.org/officeDocument/2006/relationships/chart" Target="/xl/drawings/charts/chart2.xml" Id="R0178f9ddd5be4bb7" /></Relationships>
</file>

<file path=xl/drawings/charts/chart1.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t>Completion by Phase</a:t>
            </a:r>
          </a:p>
        </c:rich>
      </c:tx>
    </c:title>
    <c:plotArea>
      <c:barChart>
        <c:barDir val="col"/>
        <c:varyColors val="0"/>
        <c:ser>
          <c:idx val="0"/>
          <c:order val="0"/>
          <c:tx>
            <c:v>Completion</c:v>
          </c:tx>
          <c:cat>
            <c:strRef>
              <c:f>'Dashboard'!$A$16:$A$22</c:f>
              <c:strCache>
                <c:ptCount val="0"/>
              </c:strCache>
            </c:strRef>
          </c:cat>
          <c:val>
            <c:numRef>
              <c:f>'Dashboard'!$B$16:$B$22</c:f>
              <c:numCache>
                <c:formatCode>0%</c:formatCode>
                <c:ptCount val="0"/>
              </c:numCache>
            </c:numRef>
          </c:val>
        </c:ser>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txPr>
          <a:bodyPr xmlns:a="http://schemas.openxmlformats.org/drawingml/2006/main" anchorCtr="1"/>
          <a:lstStyle xmlns:a="http://schemas.openxmlformats.org/drawingml/2006/main"/>
          <a:p xmlns:a="http://schemas.openxmlformats.org/drawingml/2006/main">
            <a:pPr>
              <a:defRPr sz="675"/>
            </a:pPr>
          </a:p>
        </c:txPr>
        <c:crossAx val="48672768"/>
        <c:lblAlgn val="ctr"/>
        <c:lblOffset val="100"/>
        <c:noMultiLvlLbl val="0"/>
      </c:catAx>
      <c:valAx>
        <c:axId val="48672768"/>
        <c:scaling>
          <c:orientation val="minMax"/>
          <c:max val="1"/>
          <c:min val="0"/>
        </c:scaling>
        <c:delete val="0"/>
        <c:axPos val="l"/>
        <c:majorGridlines>
          <c:spPr>
            <a:ln xmlns:a="http://schemas.openxmlformats.org/drawingml/2006/main" w="9525">
              <a:solidFill>
                <a:srgbClr val="CCCCCC"/>
              </a:solidFill>
              <a:prstDash val="dash"/>
            </a:ln>
          </c:spPr>
        </c:majorGridlines>
        <c:numFmt formatCode="0%"/>
        <c:majorTickMark val="none"/>
        <c:minorTickMark val="none"/>
        <c:crossAx val="48650112"/>
        <c:crossBetween val="between"/>
      </c:valAx>
    </c:plotArea>
    <c:plotVisOnly val="1"/>
  </c:chart>
  <c:spPr>
    <a:ln xmlns:a="http://schemas.openxmlformats.org/drawingml/2006/main" w="9525">
      <a:solidFill>
        <a:srgbClr val="D9D9D9"/>
      </a:solidFill>
      <a:prstDash val="solid"/>
    </a:ln>
  </c:spPr>
</c:chartSpace>
</file>

<file path=xl/drawings/charts/chart2.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t>Planned vs. Logged Hours by Week</a:t>
            </a:r>
          </a:p>
        </c:rich>
      </c:tx>
    </c:title>
    <c:plotArea>
      <c:lineChart>
        <c:grouping val="standard"/>
        <c:ser>
          <c:idx val="0"/>
          <c:order val="0"/>
          <c:tx>
            <c:v>Planned Hours</c:v>
          </c:tx>
          <c:marker>
            <c:symbol val="none"/>
          </c:marker>
          <c:cat>
            <c:strRef>
              <c:f>'Dashboard'!$A$27:$A$52</c:f>
              <c:strCache>
                <c:ptCount val="0"/>
              </c:strCache>
            </c:strRef>
          </c:cat>
          <c:val>
            <c:numRef>
              <c:f>'Dashboard'!$B$27:$B$52</c:f>
              <c:numCache>
                <c:formatCode>0.0</c:formatCode>
                <c:ptCount val="0"/>
              </c:numCache>
            </c:numRef>
          </c:val>
        </c:ser>
        <c:ser>
          <c:idx val="1"/>
          <c:order val="1"/>
          <c:tx>
            <c:v>Logged Hours</c:v>
          </c:tx>
          <c:marker>
            <c:symbol val="none"/>
          </c:marker>
          <c:cat>
            <c:strRef>
              <c:f>'Dashboard'!$A$27:$A$52</c:f>
              <c:strCache>
                <c:ptCount val="0"/>
              </c:strCache>
            </c:strRef>
          </c:cat>
          <c:val>
            <c:numRef>
              <c:f>'Dashboard'!$C$27:$C$52</c:f>
              <c:numCache>
                <c:formatCode>0.0</c:formatCode>
                <c:ptCount val="0"/>
              </c:numCache>
            </c:numRef>
          </c:val>
        </c:ser>
        <c:axId val="48650112"/>
        <c:axId val="48672768"/>
      </c:line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txPr>
          <a:bodyPr xmlns:a="http://schemas.openxmlformats.org/drawingml/2006/main" anchorCtr="1"/>
          <a:lstStyle xmlns:a="http://schemas.openxmlformats.org/drawingml/2006/main"/>
          <a:p xmlns:a="http://schemas.openxmlformats.org/drawingml/2006/main">
            <a:pPr>
              <a:defRPr sz="600"/>
            </a:pPr>
          </a:p>
        </c:txPr>
        <c:crossAx val="48672768"/>
        <c:lblAlgn val="ctr"/>
        <c:lblOffset val="100"/>
        <c:noMultiLvlLbl val="0"/>
      </c:catAx>
      <c:valAx>
        <c:axId val="48672768"/>
        <c:scaling>
          <c:orientation val="minMax"/>
          <c:min val="0"/>
        </c:scaling>
        <c:delete val="0"/>
        <c:axPos val="l"/>
        <c:majorGridlines>
          <c:spPr>
            <a:ln xmlns:a="http://schemas.openxmlformats.org/drawingml/2006/main" w="9525">
              <a:solidFill>
                <a:srgbClr val="CCCCCC"/>
              </a:solidFill>
              <a:prstDash val="dash"/>
            </a:ln>
          </c:spPr>
        </c:majorGridlines>
        <c:numFmt formatCode="0.0"/>
        <c:majorTickMark val="none"/>
        <c:minorTickMark val="none"/>
        <c:crossAx val="48650112"/>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5</xdr:col>
      <xdr:colOff>0</xdr:colOff>
      <xdr:row>14</xdr:row>
      <xdr:rowOff>0</xdr:rowOff>
    </xdr:from>
    <xdr:to>
      <xdr:col>12</xdr:col>
      <xdr:colOff>0</xdr:colOff>
      <xdr:row>29</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348d9d50ca094054"/>
        </a:graphicData>
      </a:graphic>
    </xdr:graphicFrame>
    <xdr:clientData/>
  </xdr:twoCellAnchor>
  <xdr:twoCellAnchor>
    <xdr:from>
      <xdr:col>4</xdr:col>
      <xdr:colOff>0</xdr:colOff>
      <xdr:row>31</xdr:row>
      <xdr:rowOff>0</xdr:rowOff>
    </xdr:from>
    <xdr:to>
      <xdr:col>12</xdr:col>
      <xdr:colOff>0</xdr:colOff>
      <xdr:row>51</xdr:row>
      <xdr:rowOff>0</xdr:rowOff>
    </xdr:to>
    <xdr:graphicFrame macro="">
      <xdr:nvGraphicFramePr>
        <xdr:cNvPr id="2"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0178f9ddd5be4bb7"/>
        </a:graphicData>
      </a:graphic>
    </xdr:graphicFrame>
    <xdr:clientData/>
  </xdr:twoCellAnchor>
</xdr:wsDr>
</file>

<file path=xl/tables/table1.xml><?xml version="1.0" encoding="utf-8"?>
<x:table xmlns:x="http://schemas.openxmlformats.org/spreadsheetml/2006/main" id="1" name="WeeklyTrackerTable" displayName="WeeklyTrackerTable" ref="A4:L30" headerRowCount="1" totalsRowCount="0" totalsRowShown="0">
  <x:tableColumns count="12">
    <x:tableColumn id="1" name="Week"/>
    <x:tableColumn id="2" name="Start"/>
    <x:tableColumn id="3" name="End"/>
    <x:tableColumn id="4" name="Phase"/>
    <x:tableColumn id="5" name="Weekly Focus"/>
    <x:tableColumn id="6" name="Exit Deliverable"/>
    <x:tableColumn id="7" name="Planned Hours"/>
    <x:tableColumn id="8" name="Actual Hours"/>
    <x:tableColumn id="9" name="Status"/>
    <x:tableColumn id="10" name="Topic Completion"/>
    <x:tableColumn id="11" name="Hours Variance"/>
    <x:tableColumn id="12" name="Weekly Review Notes"/>
  </x:tableColumns>
  <x:tableStyleInfo name="TableStyleMedium2" showFirstColumn="0" showLastColumn="0" showRowStripes="1" showColumnStripes="0"/>
</x:table>
</file>

<file path=xl/tables/table2.xml><?xml version="1.0" encoding="utf-8"?>
<x:table xmlns:x="http://schemas.openxmlformats.org/spreadsheetml/2006/main" id="2" name="TopicChecklistTable" displayName="TopicChecklistTable" ref="A4:K134" headerRowCount="1" totalsRowCount="0" totalsRowShown="0">
  <x:tableColumns count="11">
    <x:tableColumn id="1" name="ID"/>
    <x:tableColumn id="2" name="Week"/>
    <x:tableColumn id="3" name="Phase"/>
    <x:tableColumn id="4" name="Topic"/>
    <x:tableColumn id="5" name="Practical Evidence"/>
    <x:tableColumn id="6" name="Priority"/>
    <x:tableColumn id="7" name="Status"/>
    <x:tableColumn id="8" name="Evidence / Link"/>
    <x:tableColumn id="9" name="Completion"/>
    <x:tableColumn id="10" name="Due Date"/>
    <x:tableColumn id="11" name="Notes"/>
  </x:tableColumns>
  <x:tableStyleInfo name="TableStyleMedium2" showFirstColumn="0" showLastColumn="0" showRowStripes="1" showColumnStripes="0"/>
</x:table>
</file>

<file path=xl/tables/table3.xml><?xml version="1.0" encoding="utf-8"?>
<x:table xmlns:x="http://schemas.openxmlformats.org/spreadsheetml/2006/main" id="3" name="PracticeLogTable" displayName="PracticeLogTable" ref="A4:J204" headerRowCount="1" totalsRowCount="0" totalsRowShown="0">
  <x:tableColumns count="10">
    <x:tableColumn id="1" name="Date"/>
    <x:tableColumn id="2" name="Week"/>
    <x:tableColumn id="3" name="Session Type"/>
    <x:tableColumn id="4" name="Topic"/>
    <x:tableColumn id="5" name="What I Did"/>
    <x:tableColumn id="6" name="Minutes"/>
    <x:tableColumn id="7" name="Hours"/>
    <x:tableColumn id="8" name="Result"/>
    <x:tableColumn id="9" name="Evidence / Link"/>
    <x:tableColumn id="10" name="Lesson or Blocker"/>
  </x:tableColumns>
  <x:tableStyleInfo name="TableStyleMedium2" showFirstColumn="0" showLastColumn="0" showRowStripes="1" showColumnStripes="0"/>
</x:table>
</file>

<file path=xl/tables/table4.xml><?xml version="1.0" encoding="utf-8"?>
<x:table xmlns:x="http://schemas.openxmlformats.org/spreadsheetml/2006/main" id="4" name="MilestoneTable" displayName="MilestoneTable" ref="A4:H12" headerRowCount="1" totalsRowCount="0" totalsRowShown="0">
  <x:tableColumns count="8">
    <x:tableColumn id="1" name="ID"/>
    <x:tableColumn id="2" name="Target Week"/>
    <x:tableColumn id="3" name="Milestone"/>
    <x:tableColumn id="4" name="Definition of Done"/>
    <x:tableColumn id="5" name="Status"/>
    <x:tableColumn id="6" name="Completion"/>
    <x:tableColumn id="7" name="Evidence / Link"/>
    <x:tableColumn id="8" name="Review Notes"/>
  </x:tableColumns>
  <x:tableStyleInfo name="TableStyleMedium2" showFirstColumn="0" showLastColumn="0" showRowStripes="1" showColumnStripes="0"/>
</x:table>
</file>

<file path=xl/tables/table5.xml><?xml version="1.0" encoding="utf-8"?>
<x:table xmlns:x="http://schemas.openxmlformats.org/spreadsheetml/2006/main" id="5" name="CapstoneTable" displayName="CapstoneTable" ref="A4:H24" headerRowCount="1" totalsRowCount="0" totalsRowShown="0">
  <x:tableColumns count="8">
    <x:tableColumn id="1" name="Category"/>
    <x:tableColumn id="2" name="Feature"/>
    <x:tableColumn id="3" name="Target Week"/>
    <x:tableColumn id="4" name="Definition of Done"/>
    <x:tableColumn id="5" name="Status"/>
    <x:tableColumn id="6" name="Completion"/>
    <x:tableColumn id="7" name="Evidence / Link"/>
    <x:tableColumn id="8" name="Notes"/>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95788a5e71e14034" /></Relationships>
</file>

<file path=xl/worksheets/_rels/sheet2.xml.rels>&#65279;<?xml version="1.0" encoding="utf-8"?><Relationships xmlns="http://schemas.openxmlformats.org/package/2006/relationships"><Relationship Type="http://schemas.openxmlformats.org/officeDocument/2006/relationships/table" Target="/xl/tables/table1.xml" Id="R1ca415064a684af2" /></Relationships>
</file>

<file path=xl/worksheets/_rels/sheet3.xml.rels>&#65279;<?xml version="1.0" encoding="utf-8"?><Relationships xmlns="http://schemas.openxmlformats.org/package/2006/relationships"><Relationship Type="http://schemas.openxmlformats.org/officeDocument/2006/relationships/table" Target="/xl/tables/table2.xml" Id="R997d0cd289de4f68" /></Relationships>
</file>

<file path=xl/worksheets/_rels/sheet4.xml.rels>&#65279;<?xml version="1.0" encoding="utf-8"?><Relationships xmlns="http://schemas.openxmlformats.org/package/2006/relationships"><Relationship Type="http://schemas.openxmlformats.org/officeDocument/2006/relationships/table" Target="/xl/tables/table3.xml" Id="R00f7593a51564695" /></Relationships>
</file>

<file path=xl/worksheets/_rels/sheet5.xml.rels>&#65279;<?xml version="1.0" encoding="utf-8"?><Relationships xmlns="http://schemas.openxmlformats.org/package/2006/relationships"><Relationship Type="http://schemas.openxmlformats.org/officeDocument/2006/relationships/table" Target="/xl/tables/table4.xml" Id="R7ee8796900614f6a" /></Relationships>
</file>

<file path=xl/worksheets/_rels/sheet6.xml.rels>&#65279;<?xml version="1.0" encoding="utf-8"?><Relationships xmlns="http://schemas.openxmlformats.org/package/2006/relationships"><Relationship Type="http://schemas.openxmlformats.org/officeDocument/2006/relationships/table" Target="/xl/tables/table5.xml" Id="Rdf472b715fa64c5e" /></Relationships>
</file>

<file path=xl/worksheets/sheet1.xml><?xml version="1.0" encoding="utf-8"?>
<x:worksheet xmlns:x="http://schemas.openxmlformats.org/spreadsheetml/2006/main">
  <x:sheetViews>
    <x:sheetView showGridLines="0" workbookViewId="0"/>
  </x:sheetViews>
  <x:sheetFormatPr defaultRowHeight="15"/>
  <x:cols>
    <x:col min="1" max="1" width="19" hidden="0" customWidth="1"/>
    <x:col min="2" max="2" width="14" hidden="0" customWidth="1"/>
    <x:col min="3" max="3" width="14" hidden="0" customWidth="1"/>
    <x:col min="4" max="4" width="14" hidden="0" customWidth="1"/>
    <x:col min="5" max="5" width="5" hidden="0" customWidth="1"/>
    <x:col min="6" max="6" width="14" hidden="0" customWidth="1"/>
    <x:col min="7" max="7" width="14" hidden="0" customWidth="1"/>
    <x:col min="8" max="8" width="14" hidden="0" customWidth="1"/>
    <x:col min="9" max="9" width="14" hidden="0" customWidth="1"/>
    <x:col min="10" max="10" width="17" hidden="0" customWidth="1"/>
    <x:col min="11" max="11" width="17" hidden="0" customWidth="1"/>
    <x:col min="12" max="12" width="14" hidden="0" customWidth="1"/>
  </x:cols>
  <x:sheetData>
    <x:row r="1" ht="30" customHeight="1">
      <x:c r="A1" s="359" t="str">
        <x:v>PL/SQL Zero-to-Hero Progress Dashboard</x:v>
      </x:c>
      <x:c r="B1" s="359" t="str">
        <x:v>PL/SQL Zero-to-Hero Progress Dashboard</x:v>
      </x:c>
      <x:c r="C1" s="359" t="str">
        <x:v>PL/SQL Zero-to-Hero Progress Dashboard</x:v>
      </x:c>
      <x:c r="D1" s="359" t="str">
        <x:v>PL/SQL Zero-to-Hero Progress Dashboard</x:v>
      </x:c>
      <x:c r="E1" s="359" t="str">
        <x:v>PL/SQL Zero-to-Hero Progress Dashboard</x:v>
      </x:c>
      <x:c r="F1" s="359" t="str">
        <x:v>PL/SQL Zero-to-Hero Progress Dashboard</x:v>
      </x:c>
      <x:c r="G1" s="359" t="str">
        <x:v>PL/SQL Zero-to-Hero Progress Dashboard</x:v>
      </x:c>
      <x:c r="H1" s="359" t="str">
        <x:v>PL/SQL Zero-to-Hero Progress Dashboard</x:v>
      </x:c>
      <x:c r="I1" s="359" t="str">
        <x:v>PL/SQL Zero-to-Hero Progress Dashboard</x:v>
      </x:c>
      <x:c r="J1" s="359" t="str">
        <x:v>PL/SQL Zero-to-Hero Progress Dashboard</x:v>
      </x:c>
      <x:c r="K1" s="359" t="str">
        <x:v>PL/SQL Zero-to-Hero Progress Dashboard</x:v>
      </x:c>
      <x:c r="L1" s="359" t="str">
        <x:v>PL/SQL Zero-to-Hero Progress Dashboard</x:v>
      </x:c>
    </x:row>
    <x:row r="2" ht="30" customHeight="1">
      <x:c r="A2" s="359" t="str">
        <x:v>PL/SQL Zero-to-Hero Progress Dashboard</x:v>
      </x:c>
      <x:c r="B2" s="359" t="str">
        <x:v>PL/SQL Zero-to-Hero Progress Dashboard</x:v>
      </x:c>
      <x:c r="C2" s="359" t="str">
        <x:v>PL/SQL Zero-to-Hero Progress Dashboard</x:v>
      </x:c>
      <x:c r="D2" s="359" t="str">
        <x:v>PL/SQL Zero-to-Hero Progress Dashboard</x:v>
      </x:c>
      <x:c r="E2" s="359" t="str">
        <x:v>PL/SQL Zero-to-Hero Progress Dashboard</x:v>
      </x:c>
      <x:c r="F2" s="359" t="str">
        <x:v>PL/SQL Zero-to-Hero Progress Dashboard</x:v>
      </x:c>
      <x:c r="G2" s="359" t="str">
        <x:v>PL/SQL Zero-to-Hero Progress Dashboard</x:v>
      </x:c>
      <x:c r="H2" s="359" t="str">
        <x:v>PL/SQL Zero-to-Hero Progress Dashboard</x:v>
      </x:c>
      <x:c r="I2" s="359" t="str">
        <x:v>PL/SQL Zero-to-Hero Progress Dashboard</x:v>
      </x:c>
      <x:c r="J2" s="359" t="str">
        <x:v>PL/SQL Zero-to-Hero Progress Dashboard</x:v>
      </x:c>
      <x:c r="K2" s="359" t="str">
        <x:v>PL/SQL Zero-to-Hero Progress Dashboard</x:v>
      </x:c>
      <x:c r="L2" s="359" t="str">
        <x:v>PL/SQL Zero-to-Hero Progress Dashboard</x:v>
      </x:c>
    </x:row>
    <x:row r="3" ht="22" customHeight="1">
      <x:c r="A3" s="266" t="str">
        <x:v>Default plan: 26 weeks from 2026-07-20 at 8 hours per week. Change assumptions on Setup.</x:v>
      </x:c>
      <x:c r="B3" s="266" t="str">
        <x:v>Default plan: 26 weeks from 2026-07-20 at 8 hours per week. Change assumptions on Setup.</x:v>
      </x:c>
      <x:c r="C3" s="266" t="str">
        <x:v>Default plan: 26 weeks from 2026-07-20 at 8 hours per week. Change assumptions on Setup.</x:v>
      </x:c>
      <x:c r="D3" s="266" t="str">
        <x:v>Default plan: 26 weeks from 2026-07-20 at 8 hours per week. Change assumptions on Setup.</x:v>
      </x:c>
      <x:c r="E3" s="266" t="str">
        <x:v>Default plan: 26 weeks from 2026-07-20 at 8 hours per week. Change assumptions on Setup.</x:v>
      </x:c>
      <x:c r="F3" s="266" t="str">
        <x:v>Default plan: 26 weeks from 2026-07-20 at 8 hours per week. Change assumptions on Setup.</x:v>
      </x:c>
      <x:c r="G3" s="266" t="str">
        <x:v>Default plan: 26 weeks from 2026-07-20 at 8 hours per week. Change assumptions on Setup.</x:v>
      </x:c>
      <x:c r="H3" s="266" t="str">
        <x:v>Default plan: 26 weeks from 2026-07-20 at 8 hours per week. Change assumptions on Setup.</x:v>
      </x:c>
      <x:c r="I3" s="266" t="str">
        <x:v>Default plan: 26 weeks from 2026-07-20 at 8 hours per week. Change assumptions on Setup.</x:v>
      </x:c>
      <x:c r="J3" s="266" t="str">
        <x:v>Default plan: 26 weeks from 2026-07-20 at 8 hours per week. Change assumptions on Setup.</x:v>
      </x:c>
      <x:c r="K3" s="266" t="str">
        <x:v>Default plan: 26 weeks from 2026-07-20 at 8 hours per week. Change assumptions on Setup.</x:v>
      </x:c>
      <x:c r="L3" s="266" t="str">
        <x:v>Default plan: 26 weeks from 2026-07-20 at 8 hours per week. Change assumptions on Setup.</x:v>
      </x:c>
    </x:row>
    <x:row r="4">
      <x:c r="A4" s="267"/>
      <x:c r="B4" s="267"/>
      <x:c r="C4" s="267"/>
      <x:c r="D4" s="267"/>
      <x:c r="E4" s="267"/>
      <x:c r="F4" s="267"/>
      <x:c r="G4" s="267"/>
      <x:c r="H4" s="267"/>
      <x:c r="I4" s="267"/>
      <x:c r="J4" s="267"/>
      <x:c r="K4" s="267"/>
      <x:c r="L4" s="267"/>
    </x:row>
    <x:row r="5">
      <x:c r="A5" s="363" t="str">
        <x:v>Overall Progress</x:v>
      </x:c>
      <x:c r="B5" s="364" t="str">
        <x:v>Overall Progress</x:v>
      </x:c>
      <x:c r="C5" s="365" t="str">
        <x:v>Overall Progress</x:v>
      </x:c>
      <x:c r="D5" s="372" t="str">
        <x:v>Topics Completed</x:v>
      </x:c>
      <x:c r="E5" s="373" t="str">
        <x:v>Topics Completed</x:v>
      </x:c>
      <x:c r="F5" s="374" t="str">
        <x:v>Topics Completed</x:v>
      </x:c>
      <x:c r="G5" s="381" t="str">
        <x:v>Hours Logged</x:v>
      </x:c>
      <x:c r="H5" s="382" t="str">
        <x:v>Hours Logged</x:v>
      </x:c>
      <x:c r="I5" s="383" t="str">
        <x:v>Hours Logged</x:v>
      </x:c>
      <x:c r="J5" s="390" t="str">
        <x:v>Current Week</x:v>
      </x:c>
      <x:c r="K5" s="391" t="str">
        <x:v>Current Week</x:v>
      </x:c>
      <x:c r="L5" s="392" t="str">
        <x:v>Current Week</x:v>
      </x:c>
    </x:row>
    <x:row r="6">
      <x:c r="A6" s="366" t="n">
        <x:f>AVERAGE('Topic Checklist'!$I$5:$I$134)</x:f>
        <x:v>0</x:v>
      </x:c>
      <x:c r="B6" s="367"/>
      <x:c r="C6" s="368"/>
      <x:c r="D6" s="375" t="n">
        <x:f>COUNTIF('Topic Checklist'!$G$5:$G$134,"Completed")</x:f>
        <x:v>0</x:v>
      </x:c>
      <x:c r="E6" s="376"/>
      <x:c r="F6" s="377"/>
      <x:c r="G6" s="384" t="n">
        <x:f>SUM('Practice Log'!$G$5:$G$204)</x:f>
        <x:v>0</x:v>
      </x:c>
      <x:c r="H6" s="385"/>
      <x:c r="I6" s="386"/>
      <x:c r="J6" s="393" t="n">
        <x:f>MIN('Setup'!$B$8,MAX(1,INT((TODAY()-'Setup'!$B$6)/7)+1))</x:f>
        <x:v>1</x:v>
      </x:c>
      <x:c r="K6" s="394"/>
      <x:c r="L6" s="395"/>
    </x:row>
    <x:row r="7">
      <x:c r="A7" s="369"/>
      <x:c r="B7" s="370"/>
      <x:c r="C7" s="371"/>
      <x:c r="D7" s="378"/>
      <x:c r="E7" s="379"/>
      <x:c r="F7" s="380"/>
      <x:c r="G7" s="387"/>
      <x:c r="H7" s="388"/>
      <x:c r="I7" s="389"/>
      <x:c r="J7" s="396"/>
      <x:c r="K7" s="397"/>
      <x:c r="L7" s="398"/>
    </x:row>
    <x:row r="8">
      <x:c r="A8" s="267"/>
      <x:c r="B8" s="267"/>
      <x:c r="C8" s="267"/>
      <x:c r="D8" s="267"/>
      <x:c r="E8" s="267"/>
      <x:c r="F8" s="267"/>
      <x:c r="G8" s="267"/>
      <x:c r="H8" s="267"/>
      <x:c r="I8" s="267"/>
      <x:c r="J8" s="267"/>
      <x:c r="K8" s="267"/>
      <x:c r="L8" s="267"/>
    </x:row>
    <x:row r="9">
      <x:c r="A9" s="399" t="str">
        <x:v>Current Focus</x:v>
      </x:c>
      <x:c r="B9" s="399" t="str">
        <x:v>Current Focus</x:v>
      </x:c>
      <x:c r="C9" s="399" t="str">
        <x:v>Current Focus</x:v>
      </x:c>
      <x:c r="D9" s="399" t="str">
        <x:v>Current Focus</x:v>
      </x:c>
      <x:c r="E9" s="399" t="str">
        <x:v>Current Focus</x:v>
      </x:c>
      <x:c r="F9" s="399" t="str">
        <x:v>Current Focus</x:v>
      </x:c>
      <x:c r="G9" s="399" t="str">
        <x:v>Current Focus</x:v>
      </x:c>
      <x:c r="H9" s="399" t="str">
        <x:v>Current Focus</x:v>
      </x:c>
      <x:c r="I9" s="267"/>
      <x:c r="J9" s="400" t="str">
        <x:v>Needs Attention</x:v>
      </x:c>
      <x:c r="K9" s="400" t="str">
        <x:v>Needs Attention</x:v>
      </x:c>
      <x:c r="L9" s="400" t="str">
        <x:v>Needs Attention</x:v>
      </x:c>
    </x:row>
    <x:row r="10" ht="28" customHeight="1">
      <x:c r="A10" s="306" t="str">
        <x:v>Phase</x:v>
      </x:c>
      <x:c r="B10" s="307"/>
      <x:c r="C10" s="308" t="str">
        <x:f>INDEX('Weekly Tracker'!$D$5:$D$30,$J$6)</x:f>
        <x:v>Oracle SQL</x:v>
      </x:c>
      <x:c r="D10" s="308"/>
      <x:c r="E10" s="308"/>
      <x:c r="F10" s="308"/>
      <x:c r="G10" s="308"/>
      <x:c r="H10" s="309"/>
      <x:c r="I10" s="267"/>
      <x:c r="J10" s="310" t="str">
        <x:v>Overdue topics</x:v>
      </x:c>
      <x:c r="K10" s="311"/>
      <x:c r="L10" s="401" t="n">
        <x:f>COUNTIFS('Topic Checklist'!$G$5:$G$134,"&lt;&gt;Completed",'Topic Checklist'!$J$5:$J$134,"&lt;"&amp;TODAY())</x:f>
        <x:v>0</x:v>
      </x:c>
    </x:row>
    <x:row r="11" ht="28" customHeight="1">
      <x:c r="A11" s="313" t="str">
        <x:v>Focus</x:v>
      </x:c>
      <x:c r="B11" s="314"/>
      <x:c r="C11" s="315" t="str">
        <x:f>INDEX('Weekly Tracker'!$E$5:$E$30,$J$6)</x:f>
        <x:v>Relational design and Oracle data types</x:v>
      </x:c>
      <x:c r="D11" s="315"/>
      <x:c r="E11" s="315"/>
      <x:c r="F11" s="315"/>
      <x:c r="G11" s="315"/>
      <x:c r="H11" s="316"/>
      <x:c r="I11" s="267"/>
      <x:c r="J11" s="317" t="str">
        <x:v>Blocked topics</x:v>
      </x:c>
      <x:c r="K11" s="318"/>
      <x:c r="L11" s="402" t="n">
        <x:f>COUNTIF('Topic Checklist'!$G$5:$G$134,"Blocked")</x:f>
        <x:v>0</x:v>
      </x:c>
    </x:row>
    <x:row r="12" ht="28" customHeight="1">
      <x:c r="A12" s="320" t="str">
        <x:v>Deliverable</x:v>
      </x:c>
      <x:c r="B12" s="321"/>
      <x:c r="C12" s="322" t="str">
        <x:f>INDEX('Weekly Tracker'!$F$5:$F$30,$J$6)</x:f>
        <x:v>Inventory ERD and normalized table plan</x:v>
      </x:c>
      <x:c r="D12" s="322"/>
      <x:c r="E12" s="322"/>
      <x:c r="F12" s="322"/>
      <x:c r="G12" s="322"/>
      <x:c r="H12" s="323"/>
      <x:c r="I12" s="267"/>
      <x:c r="J12" s="324" t="str">
        <x:v>Current hours variance</x:v>
      </x:c>
      <x:c r="K12" s="325"/>
      <x:c r="L12" s="403" t="n">
        <x:f>INDEX('Weekly Tracker'!$K$5:$K$30,$J$6)</x:f>
        <x:v>-8</x:v>
      </x:c>
    </x:row>
    <x:row r="13">
      <x:c r="A13" s="267"/>
      <x:c r="B13" s="267"/>
      <x:c r="C13" s="267"/>
      <x:c r="D13" s="267"/>
      <x:c r="E13" s="267"/>
      <x:c r="F13" s="267"/>
      <x:c r="G13" s="267"/>
      <x:c r="H13" s="267"/>
      <x:c r="I13" s="267"/>
      <x:c r="J13" s="267"/>
      <x:c r="K13" s="267"/>
      <x:c r="L13" s="267"/>
    </x:row>
    <x:row r="14">
      <x:c r="A14" s="267"/>
      <x:c r="B14" s="267"/>
      <x:c r="C14" s="267"/>
      <x:c r="D14" s="267"/>
      <x:c r="E14" s="267"/>
      <x:c r="F14" s="267"/>
      <x:c r="G14" s="267"/>
      <x:c r="H14" s="267"/>
      <x:c r="I14" s="267"/>
      <x:c r="J14" s="267"/>
      <x:c r="K14" s="267"/>
      <x:c r="L14" s="267"/>
    </x:row>
    <x:row r="15">
      <x:c r="A15" s="360" t="str">
        <x:v>Phase</x:v>
      </x:c>
      <x:c r="B15" s="361" t="str">
        <x:v>Completion</x:v>
      </x:c>
      <x:c r="C15" s="361" t="str">
        <x:v>Topics Done</x:v>
      </x:c>
      <x:c r="D15" s="362" t="str">
        <x:v>Total Topics</x:v>
      </x:c>
      <x:c r="E15" s="267"/>
      <x:c r="F15" s="267"/>
      <x:c r="G15" s="267"/>
      <x:c r="H15" s="267"/>
      <x:c r="I15" s="267"/>
      <x:c r="J15" s="267"/>
      <x:c r="K15" s="267"/>
      <x:c r="L15" s="267"/>
    </x:row>
    <x:row r="16">
      <x:c r="A16" s="267" t="str">
        <x:v>Oracle SQL</x:v>
      </x:c>
      <x:c r="B16" s="330" t="n">
        <x:f>IFERROR(AVERAGEIF('Topic Checklist'!$C$5:$C$134,A16,'Topic Checklist'!$I$5:$I$134),0)</x:f>
        <x:v>0</x:v>
      </x:c>
      <x:c r="C16" s="267" t="n">
        <x:f>COUNTIFS('Topic Checklist'!$C$5:$C$134,A16,'Topic Checklist'!$G$5:$G$134,"Completed")</x:f>
        <x:v>0</x:v>
      </x:c>
      <x:c r="D16" s="267" t="n">
        <x:f>COUNTIF('Topic Checklist'!$C$5:$C$134,A16)</x:f>
        <x:v>20</x:v>
      </x:c>
      <x:c r="E16" s="267"/>
      <x:c r="F16" s="267"/>
      <x:c r="G16" s="267"/>
      <x:c r="H16" s="267"/>
      <x:c r="I16" s="267"/>
      <x:c r="J16" s="267"/>
      <x:c r="K16" s="267"/>
      <x:c r="L16" s="267"/>
    </x:row>
    <x:row r="17">
      <x:c r="A17" s="267" t="str">
        <x:v>PL/SQL Fundamentals</x:v>
      </x:c>
      <x:c r="B17" s="330" t="n">
        <x:f>IFERROR(AVERAGEIF('Topic Checklist'!$C$5:$C$134,A17,'Topic Checklist'!$I$5:$I$134),0)</x:f>
        <x:v>0</x:v>
      </x:c>
      <x:c r="C17" s="267" t="n">
        <x:f>COUNTIFS('Topic Checklist'!$C$5:$C$134,A17,'Topic Checklist'!$G$5:$G$134,"Completed")</x:f>
        <x:v>0</x:v>
      </x:c>
      <x:c r="D17" s="267" t="n">
        <x:f>COUNTIF('Topic Checklist'!$C$5:$C$134,A17)</x:f>
        <x:v>20</x:v>
      </x:c>
      <x:c r="E17" s="267"/>
      <x:c r="F17" s="267"/>
      <x:c r="G17" s="267"/>
      <x:c r="H17" s="267"/>
      <x:c r="I17" s="267"/>
      <x:c r="J17" s="267"/>
      <x:c r="K17" s="267"/>
      <x:c r="L17" s="267"/>
    </x:row>
    <x:row r="18">
      <x:c r="A18" s="267" t="str">
        <x:v>Intermediate PL/SQL</x:v>
      </x:c>
      <x:c r="B18" s="330" t="n">
        <x:f>IFERROR(AVERAGEIF('Topic Checklist'!$C$5:$C$134,A18,'Topic Checklist'!$I$5:$I$134),0)</x:f>
        <x:v>0</x:v>
      </x:c>
      <x:c r="C18" s="267" t="n">
        <x:f>COUNTIFS('Topic Checklist'!$C$5:$C$134,A18,'Topic Checklist'!$G$5:$G$134,"Completed")</x:f>
        <x:v>0</x:v>
      </x:c>
      <x:c r="D18" s="267" t="n">
        <x:f>COUNTIF('Topic Checklist'!$C$5:$C$134,A18)</x:f>
        <x:v>20</x:v>
      </x:c>
      <x:c r="E18" s="267"/>
      <x:c r="F18" s="267"/>
      <x:c r="G18" s="267"/>
      <x:c r="H18" s="267"/>
      <x:c r="I18" s="267"/>
      <x:c r="J18" s="267"/>
      <x:c r="K18" s="267"/>
      <x:c r="L18" s="267"/>
    </x:row>
    <x:row r="19">
      <x:c r="A19" s="267" t="str">
        <x:v>Enterprise PL/SQL</x:v>
      </x:c>
      <x:c r="B19" s="330" t="n">
        <x:f>IFERROR(AVERAGEIF('Topic Checklist'!$C$5:$C$134,A19,'Topic Checklist'!$I$5:$I$134),0)</x:f>
        <x:v>0</x:v>
      </x:c>
      <x:c r="C19" s="267" t="n">
        <x:f>COUNTIFS('Topic Checklist'!$C$5:$C$134,A19,'Topic Checklist'!$G$5:$G$134,"Completed")</x:f>
        <x:v>0</x:v>
      </x:c>
      <x:c r="D19" s="267" t="n">
        <x:f>COUNTIF('Topic Checklist'!$C$5:$C$134,A19)</x:f>
        <x:v>20</x:v>
      </x:c>
      <x:c r="E19" s="267"/>
      <x:c r="F19" s="267"/>
      <x:c r="G19" s="267"/>
      <x:c r="H19" s="267"/>
      <x:c r="I19" s="267"/>
      <x:c r="J19" s="267"/>
      <x:c r="K19" s="267"/>
      <x:c r="L19" s="267"/>
    </x:row>
    <x:row r="20">
      <x:c r="A20" s="267" t="str">
        <x:v>Production PL/SQL</x:v>
      </x:c>
      <x:c r="B20" s="330" t="n">
        <x:f>IFERROR(AVERAGEIF('Topic Checklist'!$C$5:$C$134,A20,'Topic Checklist'!$I$5:$I$134),0)</x:f>
        <x:v>0</x:v>
      </x:c>
      <x:c r="C20" s="267" t="n">
        <x:f>COUNTIFS('Topic Checklist'!$C$5:$C$134,A20,'Topic Checklist'!$G$5:$G$134,"Completed")</x:f>
        <x:v>0</x:v>
      </x:c>
      <x:c r="D20" s="267" t="n">
        <x:f>COUNTIF('Topic Checklist'!$C$5:$C$134,A20)</x:f>
        <x:v>20</x:v>
      </x:c>
      <x:c r="E20" s="267"/>
      <x:c r="F20" s="267"/>
      <x:c r="G20" s="267"/>
      <x:c r="H20" s="267"/>
      <x:c r="I20" s="267"/>
      <x:c r="J20" s="267"/>
      <x:c r="K20" s="267"/>
      <x:c r="L20" s="267"/>
    </x:row>
    <x:row r="21">
      <x:c r="A21" s="267" t="str">
        <x:v>APEX Integration</x:v>
      </x:c>
      <x:c r="B21" s="330" t="n">
        <x:f>IFERROR(AVERAGEIF('Topic Checklist'!$C$5:$C$134,A21,'Topic Checklist'!$I$5:$I$134),0)</x:f>
        <x:v>0</x:v>
      </x:c>
      <x:c r="C21" s="267" t="n">
        <x:f>COUNTIFS('Topic Checklist'!$C$5:$C$134,A21,'Topic Checklist'!$G$5:$G$134,"Completed")</x:f>
        <x:v>0</x:v>
      </x:c>
      <x:c r="D21" s="267" t="n">
        <x:f>COUNTIF('Topic Checklist'!$C$5:$C$134,A21)</x:f>
        <x:v>10</x:v>
      </x:c>
      <x:c r="E21" s="267"/>
      <x:c r="F21" s="267"/>
      <x:c r="G21" s="267"/>
      <x:c r="H21" s="267"/>
      <x:c r="I21" s="267"/>
      <x:c r="J21" s="267"/>
      <x:c r="K21" s="267"/>
      <x:c r="L21" s="267"/>
    </x:row>
    <x:row r="22">
      <x:c r="A22" s="331" t="str">
        <x:v>Capstone</x:v>
      </x:c>
      <x:c r="B22" s="332" t="n">
        <x:f>IFERROR(AVERAGEIF('Topic Checklist'!$C$5:$C$134,A22,'Topic Checklist'!$I$5:$I$134),0)</x:f>
        <x:v>0</x:v>
      </x:c>
      <x:c r="C22" s="331" t="n">
        <x:f>COUNTIFS('Topic Checklist'!$C$5:$C$134,A22,'Topic Checklist'!$G$5:$G$134,"Completed")</x:f>
        <x:v>0</x:v>
      </x:c>
      <x:c r="D22" s="331" t="n">
        <x:f>COUNTIF('Topic Checklist'!$C$5:$C$134,A22)</x:f>
        <x:v>20</x:v>
      </x:c>
      <x:c r="E22" s="267"/>
      <x:c r="F22" s="267"/>
      <x:c r="G22" s="267"/>
      <x:c r="H22" s="267"/>
      <x:c r="I22" s="267"/>
      <x:c r="J22" s="267"/>
      <x:c r="K22" s="267"/>
      <x:c r="L22" s="267"/>
    </x:row>
    <x:row r="23">
      <x:c r="A23" s="267"/>
      <x:c r="B23" s="267"/>
      <x:c r="C23" s="267"/>
      <x:c r="D23" s="267"/>
      <x:c r="E23" s="267"/>
      <x:c r="F23" s="267"/>
      <x:c r="G23" s="267"/>
      <x:c r="H23" s="267"/>
      <x:c r="I23" s="267"/>
      <x:c r="J23" s="267"/>
      <x:c r="K23" s="267"/>
      <x:c r="L23" s="267"/>
    </x:row>
    <x:row r="24">
      <x:c r="A24" s="267"/>
      <x:c r="B24" s="267"/>
      <x:c r="C24" s="267"/>
      <x:c r="D24" s="267"/>
      <x:c r="E24" s="267"/>
      <x:c r="F24" s="267"/>
      <x:c r="G24" s="267"/>
      <x:c r="H24" s="267"/>
      <x:c r="I24" s="267"/>
      <x:c r="J24" s="267"/>
      <x:c r="K24" s="267"/>
      <x:c r="L24" s="267"/>
    </x:row>
    <x:row r="25">
      <x:c r="A25" s="267"/>
      <x:c r="B25" s="267"/>
      <x:c r="C25" s="267"/>
      <x:c r="D25" s="267"/>
      <x:c r="E25" s="267"/>
      <x:c r="F25" s="267"/>
      <x:c r="G25" s="267"/>
      <x:c r="H25" s="267"/>
      <x:c r="I25" s="267"/>
      <x:c r="J25" s="267"/>
      <x:c r="K25" s="267"/>
      <x:c r="L25" s="267"/>
    </x:row>
    <x:row r="26">
      <x:c r="A26" s="360" t="str">
        <x:v>Week</x:v>
      </x:c>
      <x:c r="B26" s="361" t="str">
        <x:v>Planned Hours</x:v>
      </x:c>
      <x:c r="C26" s="362" t="str">
        <x:v>Logged Hours</x:v>
      </x:c>
      <x:c r="D26" s="267"/>
      <x:c r="E26" s="267"/>
      <x:c r="F26" s="267"/>
      <x:c r="G26" s="267"/>
      <x:c r="H26" s="267"/>
      <x:c r="I26" s="267"/>
      <x:c r="J26" s="267"/>
      <x:c r="K26" s="267"/>
      <x:c r="L26" s="267"/>
    </x:row>
    <x:row r="27">
      <x:c r="A27" s="267" t="n">
        <x:v>1</x:v>
      </x:c>
      <x:c r="B27" s="333" t="n">
        <x:f>'Weekly Tracker'!$G$5</x:f>
        <x:v>8</x:v>
      </x:c>
      <x:c r="C27" s="333" t="n">
        <x:f>'Weekly Tracker'!$H$5</x:f>
        <x:v>0</x:v>
      </x:c>
      <x:c r="D27" s="267"/>
      <x:c r="E27" s="267"/>
      <x:c r="F27" s="267"/>
      <x:c r="G27" s="267"/>
      <x:c r="H27" s="267"/>
      <x:c r="I27" s="267"/>
      <x:c r="J27" s="267"/>
      <x:c r="K27" s="267"/>
      <x:c r="L27" s="267"/>
    </x:row>
    <x:row r="28">
      <x:c r="A28" s="267" t="n">
        <x:v>2</x:v>
      </x:c>
      <x:c r="B28" s="333" t="n">
        <x:f>'Weekly Tracker'!$G$6</x:f>
        <x:v>8</x:v>
      </x:c>
      <x:c r="C28" s="333" t="n">
        <x:f>'Weekly Tracker'!$H$6</x:f>
        <x:v>0</x:v>
      </x:c>
      <x:c r="D28" s="267"/>
      <x:c r="E28" s="267"/>
      <x:c r="F28" s="267"/>
      <x:c r="G28" s="267"/>
      <x:c r="H28" s="267"/>
      <x:c r="I28" s="267"/>
      <x:c r="J28" s="267"/>
      <x:c r="K28" s="267"/>
      <x:c r="L28" s="267"/>
    </x:row>
    <x:row r="29">
      <x:c r="A29" s="267" t="n">
        <x:v>3</x:v>
      </x:c>
      <x:c r="B29" s="333" t="n">
        <x:f>'Weekly Tracker'!$G$7</x:f>
        <x:v>8</x:v>
      </x:c>
      <x:c r="C29" s="333" t="n">
        <x:f>'Weekly Tracker'!$H$7</x:f>
        <x:v>0</x:v>
      </x:c>
      <x:c r="D29" s="267"/>
      <x:c r="E29" s="267"/>
      <x:c r="F29" s="267"/>
      <x:c r="G29" s="267"/>
      <x:c r="H29" s="267"/>
      <x:c r="I29" s="267"/>
      <x:c r="J29" s="267"/>
      <x:c r="K29" s="267"/>
      <x:c r="L29" s="267"/>
    </x:row>
    <x:row r="30">
      <x:c r="A30" s="267" t="n">
        <x:v>4</x:v>
      </x:c>
      <x:c r="B30" s="333" t="n">
        <x:f>'Weekly Tracker'!$G$8</x:f>
        <x:v>8</x:v>
      </x:c>
      <x:c r="C30" s="333" t="n">
        <x:f>'Weekly Tracker'!$H$8</x:f>
        <x:v>0</x:v>
      </x:c>
      <x:c r="D30" s="267"/>
      <x:c r="E30" s="267"/>
      <x:c r="F30" s="267"/>
      <x:c r="G30" s="267"/>
      <x:c r="H30" s="267"/>
      <x:c r="I30" s="267"/>
      <x:c r="J30" s="267"/>
      <x:c r="K30" s="267"/>
      <x:c r="L30" s="267"/>
    </x:row>
    <x:row r="31">
      <x:c r="A31" s="267" t="n">
        <x:v>5</x:v>
      </x:c>
      <x:c r="B31" s="333" t="n">
        <x:f>'Weekly Tracker'!$G$9</x:f>
        <x:v>8</x:v>
      </x:c>
      <x:c r="C31" s="333" t="n">
        <x:f>'Weekly Tracker'!$H$9</x:f>
        <x:v>0</x:v>
      </x:c>
      <x:c r="D31" s="267"/>
      <x:c r="E31" s="267"/>
      <x:c r="F31" s="267"/>
      <x:c r="G31" s="267"/>
      <x:c r="H31" s="267"/>
      <x:c r="I31" s="267"/>
      <x:c r="J31" s="267"/>
      <x:c r="K31" s="267"/>
      <x:c r="L31" s="267"/>
    </x:row>
    <x:row r="32">
      <x:c r="A32" s="267" t="n">
        <x:v>6</x:v>
      </x:c>
      <x:c r="B32" s="333" t="n">
        <x:f>'Weekly Tracker'!$G$10</x:f>
        <x:v>8</x:v>
      </x:c>
      <x:c r="C32" s="333" t="n">
        <x:f>'Weekly Tracker'!$H$10</x:f>
        <x:v>0</x:v>
      </x:c>
      <x:c r="D32" s="267"/>
      <x:c r="E32" s="267"/>
      <x:c r="F32" s="267"/>
      <x:c r="G32" s="267"/>
      <x:c r="H32" s="267"/>
      <x:c r="I32" s="267"/>
      <x:c r="J32" s="267"/>
      <x:c r="K32" s="267"/>
      <x:c r="L32" s="267"/>
    </x:row>
    <x:row r="33">
      <x:c r="A33" s="267" t="n">
        <x:v>7</x:v>
      </x:c>
      <x:c r="B33" s="333" t="n">
        <x:f>'Weekly Tracker'!$G$11</x:f>
        <x:v>8</x:v>
      </x:c>
      <x:c r="C33" s="333" t="n">
        <x:f>'Weekly Tracker'!$H$11</x:f>
        <x:v>0</x:v>
      </x:c>
      <x:c r="D33" s="267"/>
      <x:c r="E33" s="267"/>
      <x:c r="F33" s="267"/>
      <x:c r="G33" s="267"/>
      <x:c r="H33" s="267"/>
      <x:c r="I33" s="267"/>
      <x:c r="J33" s="267"/>
      <x:c r="K33" s="267"/>
      <x:c r="L33" s="267"/>
    </x:row>
    <x:row r="34">
      <x:c r="A34" s="267" t="n">
        <x:v>8</x:v>
      </x:c>
      <x:c r="B34" s="333" t="n">
        <x:f>'Weekly Tracker'!$G$12</x:f>
        <x:v>8</x:v>
      </x:c>
      <x:c r="C34" s="333" t="n">
        <x:f>'Weekly Tracker'!$H$12</x:f>
        <x:v>0</x:v>
      </x:c>
      <x:c r="D34" s="267"/>
      <x:c r="E34" s="267"/>
      <x:c r="F34" s="267"/>
      <x:c r="G34" s="267"/>
      <x:c r="H34" s="267"/>
      <x:c r="I34" s="267"/>
      <x:c r="J34" s="267"/>
      <x:c r="K34" s="267"/>
      <x:c r="L34" s="267"/>
    </x:row>
    <x:row r="35">
      <x:c r="A35" s="267" t="n">
        <x:v>9</x:v>
      </x:c>
      <x:c r="B35" s="333" t="n">
        <x:f>'Weekly Tracker'!$G$13</x:f>
        <x:v>8</x:v>
      </x:c>
      <x:c r="C35" s="333" t="n">
        <x:f>'Weekly Tracker'!$H$13</x:f>
        <x:v>0</x:v>
      </x:c>
      <x:c r="D35" s="267"/>
      <x:c r="E35" s="267"/>
      <x:c r="F35" s="267"/>
      <x:c r="G35" s="267"/>
      <x:c r="H35" s="267"/>
      <x:c r="I35" s="267"/>
      <x:c r="J35" s="267"/>
      <x:c r="K35" s="267"/>
      <x:c r="L35" s="267"/>
    </x:row>
    <x:row r="36">
      <x:c r="A36" s="267" t="n">
        <x:v>10</x:v>
      </x:c>
      <x:c r="B36" s="333" t="n">
        <x:f>'Weekly Tracker'!$G$14</x:f>
        <x:v>8</x:v>
      </x:c>
      <x:c r="C36" s="333" t="n">
        <x:f>'Weekly Tracker'!$H$14</x:f>
        <x:v>0</x:v>
      </x:c>
      <x:c r="D36" s="267"/>
      <x:c r="E36" s="267"/>
      <x:c r="F36" s="267"/>
      <x:c r="G36" s="267"/>
      <x:c r="H36" s="267"/>
      <x:c r="I36" s="267"/>
      <x:c r="J36" s="267"/>
      <x:c r="K36" s="267"/>
      <x:c r="L36" s="267"/>
    </x:row>
    <x:row r="37">
      <x:c r="A37" s="267" t="n">
        <x:v>11</x:v>
      </x:c>
      <x:c r="B37" s="333" t="n">
        <x:f>'Weekly Tracker'!$G$15</x:f>
        <x:v>8</x:v>
      </x:c>
      <x:c r="C37" s="333" t="n">
        <x:f>'Weekly Tracker'!$H$15</x:f>
        <x:v>0</x:v>
      </x:c>
      <x:c r="D37" s="267"/>
      <x:c r="E37" s="267"/>
      <x:c r="F37" s="267"/>
      <x:c r="G37" s="267"/>
      <x:c r="H37" s="267"/>
      <x:c r="I37" s="267"/>
      <x:c r="J37" s="267"/>
      <x:c r="K37" s="267"/>
      <x:c r="L37" s="267"/>
    </x:row>
    <x:row r="38">
      <x:c r="A38" s="267" t="n">
        <x:v>12</x:v>
      </x:c>
      <x:c r="B38" s="333" t="n">
        <x:f>'Weekly Tracker'!$G$16</x:f>
        <x:v>8</x:v>
      </x:c>
      <x:c r="C38" s="333" t="n">
        <x:f>'Weekly Tracker'!$H$16</x:f>
        <x:v>0</x:v>
      </x:c>
      <x:c r="D38" s="267"/>
      <x:c r="E38" s="267"/>
      <x:c r="F38" s="267"/>
      <x:c r="G38" s="267"/>
      <x:c r="H38" s="267"/>
      <x:c r="I38" s="267"/>
      <x:c r="J38" s="267"/>
      <x:c r="K38" s="267"/>
      <x:c r="L38" s="267"/>
    </x:row>
    <x:row r="39">
      <x:c r="A39" s="267" t="n">
        <x:v>13</x:v>
      </x:c>
      <x:c r="B39" s="333" t="n">
        <x:f>'Weekly Tracker'!$G$17</x:f>
        <x:v>8</x:v>
      </x:c>
      <x:c r="C39" s="333" t="n">
        <x:f>'Weekly Tracker'!$H$17</x:f>
        <x:v>0</x:v>
      </x:c>
      <x:c r="D39" s="267"/>
      <x:c r="E39" s="267"/>
      <x:c r="F39" s="267"/>
      <x:c r="G39" s="267"/>
      <x:c r="H39" s="267"/>
      <x:c r="I39" s="267"/>
      <x:c r="J39" s="267"/>
      <x:c r="K39" s="267"/>
      <x:c r="L39" s="267"/>
    </x:row>
    <x:row r="40">
      <x:c r="A40" s="267" t="n">
        <x:v>14</x:v>
      </x:c>
      <x:c r="B40" s="333" t="n">
        <x:f>'Weekly Tracker'!$G$18</x:f>
        <x:v>8</x:v>
      </x:c>
      <x:c r="C40" s="333" t="n">
        <x:f>'Weekly Tracker'!$H$18</x:f>
        <x:v>0</x:v>
      </x:c>
      <x:c r="D40" s="267"/>
      <x:c r="E40" s="267"/>
      <x:c r="F40" s="267"/>
      <x:c r="G40" s="267"/>
      <x:c r="H40" s="267"/>
      <x:c r="I40" s="267"/>
      <x:c r="J40" s="267"/>
      <x:c r="K40" s="267"/>
      <x:c r="L40" s="267"/>
    </x:row>
    <x:row r="41">
      <x:c r="A41" s="267" t="n">
        <x:v>15</x:v>
      </x:c>
      <x:c r="B41" s="333" t="n">
        <x:f>'Weekly Tracker'!$G$19</x:f>
        <x:v>8</x:v>
      </x:c>
      <x:c r="C41" s="333" t="n">
        <x:f>'Weekly Tracker'!$H$19</x:f>
        <x:v>0</x:v>
      </x:c>
      <x:c r="D41" s="267"/>
      <x:c r="E41" s="267"/>
      <x:c r="F41" s="267"/>
      <x:c r="G41" s="267"/>
      <x:c r="H41" s="267"/>
      <x:c r="I41" s="267"/>
      <x:c r="J41" s="267"/>
      <x:c r="K41" s="267"/>
      <x:c r="L41" s="267"/>
    </x:row>
    <x:row r="42">
      <x:c r="A42" s="267" t="n">
        <x:v>16</x:v>
      </x:c>
      <x:c r="B42" s="333" t="n">
        <x:f>'Weekly Tracker'!$G$20</x:f>
        <x:v>8</x:v>
      </x:c>
      <x:c r="C42" s="333" t="n">
        <x:f>'Weekly Tracker'!$H$20</x:f>
        <x:v>0</x:v>
      </x:c>
      <x:c r="D42" s="267"/>
      <x:c r="E42" s="267"/>
      <x:c r="F42" s="267"/>
      <x:c r="G42" s="267"/>
      <x:c r="H42" s="267"/>
      <x:c r="I42" s="267"/>
      <x:c r="J42" s="267"/>
      <x:c r="K42" s="267"/>
      <x:c r="L42" s="267"/>
    </x:row>
    <x:row r="43">
      <x:c r="A43" s="267" t="n">
        <x:v>17</x:v>
      </x:c>
      <x:c r="B43" s="333" t="n">
        <x:f>'Weekly Tracker'!$G$21</x:f>
        <x:v>8</x:v>
      </x:c>
      <x:c r="C43" s="333" t="n">
        <x:f>'Weekly Tracker'!$H$21</x:f>
        <x:v>0</x:v>
      </x:c>
      <x:c r="D43" s="267"/>
      <x:c r="E43" s="267"/>
      <x:c r="F43" s="267"/>
      <x:c r="G43" s="267"/>
      <x:c r="H43" s="267"/>
      <x:c r="I43" s="267"/>
      <x:c r="J43" s="267"/>
      <x:c r="K43" s="267"/>
      <x:c r="L43" s="267"/>
    </x:row>
    <x:row r="44">
      <x:c r="A44" s="267" t="n">
        <x:v>18</x:v>
      </x:c>
      <x:c r="B44" s="333" t="n">
        <x:f>'Weekly Tracker'!$G$22</x:f>
        <x:v>8</x:v>
      </x:c>
      <x:c r="C44" s="333" t="n">
        <x:f>'Weekly Tracker'!$H$22</x:f>
        <x:v>0</x:v>
      </x:c>
      <x:c r="D44" s="267"/>
      <x:c r="E44" s="267"/>
      <x:c r="F44" s="267"/>
      <x:c r="G44" s="267"/>
      <x:c r="H44" s="267"/>
      <x:c r="I44" s="267"/>
      <x:c r="J44" s="267"/>
      <x:c r="K44" s="267"/>
      <x:c r="L44" s="267"/>
    </x:row>
    <x:row r="45">
      <x:c r="A45" s="267" t="n">
        <x:v>19</x:v>
      </x:c>
      <x:c r="B45" s="333" t="n">
        <x:f>'Weekly Tracker'!$G$23</x:f>
        <x:v>8</x:v>
      </x:c>
      <x:c r="C45" s="333" t="n">
        <x:f>'Weekly Tracker'!$H$23</x:f>
        <x:v>0</x:v>
      </x:c>
      <x:c r="D45" s="267"/>
      <x:c r="E45" s="267"/>
      <x:c r="F45" s="267"/>
      <x:c r="G45" s="267"/>
      <x:c r="H45" s="267"/>
      <x:c r="I45" s="267"/>
      <x:c r="J45" s="267"/>
      <x:c r="K45" s="267"/>
      <x:c r="L45" s="267"/>
    </x:row>
    <x:row r="46">
      <x:c r="A46" s="267" t="n">
        <x:v>20</x:v>
      </x:c>
      <x:c r="B46" s="333" t="n">
        <x:f>'Weekly Tracker'!$G$24</x:f>
        <x:v>8</x:v>
      </x:c>
      <x:c r="C46" s="333" t="n">
        <x:f>'Weekly Tracker'!$H$24</x:f>
        <x:v>0</x:v>
      </x:c>
      <x:c r="D46" s="267"/>
      <x:c r="E46" s="267"/>
      <x:c r="F46" s="267"/>
      <x:c r="G46" s="267"/>
      <x:c r="H46" s="267"/>
      <x:c r="I46" s="267"/>
      <x:c r="J46" s="267"/>
      <x:c r="K46" s="267"/>
      <x:c r="L46" s="267"/>
    </x:row>
    <x:row r="47">
      <x:c r="A47" s="267" t="n">
        <x:v>21</x:v>
      </x:c>
      <x:c r="B47" s="333" t="n">
        <x:f>'Weekly Tracker'!$G$25</x:f>
        <x:v>8</x:v>
      </x:c>
      <x:c r="C47" s="333" t="n">
        <x:f>'Weekly Tracker'!$H$25</x:f>
        <x:v>0</x:v>
      </x:c>
      <x:c r="D47" s="267"/>
      <x:c r="E47" s="267"/>
      <x:c r="F47" s="267"/>
      <x:c r="G47" s="267"/>
      <x:c r="H47" s="267"/>
      <x:c r="I47" s="267"/>
      <x:c r="J47" s="267"/>
      <x:c r="K47" s="267"/>
      <x:c r="L47" s="267"/>
    </x:row>
    <x:row r="48">
      <x:c r="A48" s="267" t="n">
        <x:v>22</x:v>
      </x:c>
      <x:c r="B48" s="333" t="n">
        <x:f>'Weekly Tracker'!$G$26</x:f>
        <x:v>8</x:v>
      </x:c>
      <x:c r="C48" s="333" t="n">
        <x:f>'Weekly Tracker'!$H$26</x:f>
        <x:v>0</x:v>
      </x:c>
      <x:c r="D48" s="267"/>
      <x:c r="E48" s="267"/>
      <x:c r="F48" s="267"/>
      <x:c r="G48" s="267"/>
      <x:c r="H48" s="267"/>
      <x:c r="I48" s="267"/>
      <x:c r="J48" s="267"/>
      <x:c r="K48" s="267"/>
      <x:c r="L48" s="267"/>
    </x:row>
    <x:row r="49">
      <x:c r="A49" s="267" t="n">
        <x:v>23</x:v>
      </x:c>
      <x:c r="B49" s="333" t="n">
        <x:f>'Weekly Tracker'!$G$27</x:f>
        <x:v>8</x:v>
      </x:c>
      <x:c r="C49" s="333" t="n">
        <x:f>'Weekly Tracker'!$H$27</x:f>
        <x:v>0</x:v>
      </x:c>
      <x:c r="D49" s="267"/>
      <x:c r="E49" s="267"/>
      <x:c r="F49" s="267"/>
      <x:c r="G49" s="267"/>
      <x:c r="H49" s="267"/>
      <x:c r="I49" s="267"/>
      <x:c r="J49" s="267"/>
      <x:c r="K49" s="267"/>
      <x:c r="L49" s="267"/>
    </x:row>
    <x:row r="50">
      <x:c r="A50" s="267" t="n">
        <x:v>24</x:v>
      </x:c>
      <x:c r="B50" s="333" t="n">
        <x:f>'Weekly Tracker'!$G$28</x:f>
        <x:v>8</x:v>
      </x:c>
      <x:c r="C50" s="333" t="n">
        <x:f>'Weekly Tracker'!$H$28</x:f>
        <x:v>0</x:v>
      </x:c>
      <x:c r="D50" s="267"/>
      <x:c r="E50" s="267"/>
      <x:c r="F50" s="267"/>
      <x:c r="G50" s="267"/>
      <x:c r="H50" s="267"/>
      <x:c r="I50" s="267"/>
      <x:c r="J50" s="267"/>
      <x:c r="K50" s="267"/>
      <x:c r="L50" s="267"/>
    </x:row>
    <x:row r="51">
      <x:c r="A51" s="267" t="n">
        <x:v>25</x:v>
      </x:c>
      <x:c r="B51" s="333" t="n">
        <x:f>'Weekly Tracker'!$G$29</x:f>
        <x:v>8</x:v>
      </x:c>
      <x:c r="C51" s="333" t="n">
        <x:f>'Weekly Tracker'!$H$29</x:f>
        <x:v>0</x:v>
      </x:c>
      <x:c r="D51" s="267"/>
      <x:c r="E51" s="267"/>
      <x:c r="F51" s="267"/>
      <x:c r="G51" s="267"/>
      <x:c r="H51" s="267"/>
      <x:c r="I51" s="267"/>
      <x:c r="J51" s="267"/>
      <x:c r="K51" s="267"/>
      <x:c r="L51" s="267"/>
    </x:row>
    <x:row r="52">
      <x:c r="A52" s="331" t="n">
        <x:v>26</x:v>
      </x:c>
      <x:c r="B52" s="334" t="n">
        <x:f>'Weekly Tracker'!$G$30</x:f>
        <x:v>8</x:v>
      </x:c>
      <x:c r="C52" s="334" t="n">
        <x:f>'Weekly Tracker'!$H$30</x:f>
        <x:v>0</x:v>
      </x:c>
      <x:c r="D52" s="267"/>
      <x:c r="E52" s="267"/>
      <x:c r="F52" s="267"/>
      <x:c r="G52" s="267"/>
      <x:c r="H52" s="267"/>
      <x:c r="I52" s="267"/>
      <x:c r="J52" s="267"/>
      <x:c r="K52" s="267"/>
      <x:c r="L52" s="267"/>
    </x:row>
    <x:row r="53">
      <x:c r="A53" s="267"/>
      <x:c r="B53" s="267"/>
      <x:c r="C53" s="267"/>
      <x:c r="D53" s="267"/>
      <x:c r="E53" s="267"/>
      <x:c r="F53" s="267"/>
      <x:c r="G53" s="267"/>
      <x:c r="H53" s="267"/>
      <x:c r="I53" s="267"/>
      <x:c r="J53" s="267"/>
      <x:c r="K53" s="267"/>
      <x:c r="L53" s="267"/>
    </x:row>
    <x:row r="54">
      <x:c r="A54" s="267"/>
      <x:c r="B54" s="267"/>
      <x:c r="C54" s="267"/>
      <x:c r="D54" s="267"/>
      <x:c r="E54" s="267"/>
      <x:c r="F54" s="267"/>
      <x:c r="G54" s="267"/>
      <x:c r="H54" s="267"/>
      <x:c r="I54" s="267"/>
      <x:c r="J54" s="267"/>
      <x:c r="K54" s="267"/>
      <x:c r="L54" s="267"/>
    </x:row>
    <x:row r="55">
      <x:c r="A55" s="399" t="str">
        <x:v>How to use this tracker</x:v>
      </x:c>
      <x:c r="B55" s="399" t="str">
        <x:v>How to use this tracker</x:v>
      </x:c>
      <x:c r="C55" s="399" t="str">
        <x:v>How to use this tracker</x:v>
      </x:c>
      <x:c r="D55" s="399" t="str">
        <x:v>How to use this tracker</x:v>
      </x:c>
      <x:c r="E55" s="399" t="str">
        <x:v>How to use this tracker</x:v>
      </x:c>
      <x:c r="F55" s="399" t="str">
        <x:v>How to use this tracker</x:v>
      </x:c>
      <x:c r="G55" s="399" t="str">
        <x:v>How to use this tracker</x:v>
      </x:c>
      <x:c r="H55" s="399" t="str">
        <x:v>How to use this tracker</x:v>
      </x:c>
      <x:c r="I55" s="399" t="str">
        <x:v>How to use this tracker</x:v>
      </x:c>
      <x:c r="J55" s="399" t="str">
        <x:v>How to use this tracker</x:v>
      </x:c>
      <x:c r="K55" s="399" t="str">
        <x:v>How to use this tracker</x:v>
      </x:c>
      <x:c r="L55" s="399" t="str">
        <x:v>How to use this tracker</x:v>
      </x:c>
    </x:row>
    <x:row r="56" ht="25" customHeight="1">
      <x:c r="A56" s="335" t="str">
        <x:v>1) Change start date or weekly target on Setup.  2) Update each Topic Checklist status and attach evidence.  3) Record every study session in Practice Log.  4) Review Weekly Tracker and Milestones at the end of each week.  5) Use Capstone as your final portfolio definition of done.</x:v>
      </x:c>
      <x:c r="B56" s="336" t="str">
        <x:v>1) Change start date or weekly target on Setup.  2) Update each Topic Checklist status and attach evidence.  3) Record every study session in Practice Log.  4) Review Weekly Tracker and Milestones at the end of each week.  5) Use Capstone as your final portfolio definition of done.</x:v>
      </x:c>
      <x:c r="C56" s="336" t="str">
        <x:v>1) Change start date or weekly target on Setup.  2) Update each Topic Checklist status and attach evidence.  3) Record every study session in Practice Log.  4) Review Weekly Tracker and Milestones at the end of each week.  5) Use Capstone as your final portfolio definition of done.</x:v>
      </x:c>
      <x:c r="D56" s="336" t="str">
        <x:v>1) Change start date or weekly target on Setup.  2) Update each Topic Checklist status and attach evidence.  3) Record every study session in Practice Log.  4) Review Weekly Tracker and Milestones at the end of each week.  5) Use Capstone as your final portfolio definition of done.</x:v>
      </x:c>
      <x:c r="E56" s="336" t="str">
        <x:v>1) Change start date or weekly target on Setup.  2) Update each Topic Checklist status and attach evidence.  3) Record every study session in Practice Log.  4) Review Weekly Tracker and Milestones at the end of each week.  5) Use Capstone as your final portfolio definition of done.</x:v>
      </x:c>
      <x:c r="F56" s="336" t="str">
        <x:v>1) Change start date or weekly target on Setup.  2) Update each Topic Checklist status and attach evidence.  3) Record every study session in Practice Log.  4) Review Weekly Tracker and Milestones at the end of each week.  5) Use Capstone as your final portfolio definition of done.</x:v>
      </x:c>
      <x:c r="G56" s="336" t="str">
        <x:v>1) Change start date or weekly target on Setup.  2) Update each Topic Checklist status and attach evidence.  3) Record every study session in Practice Log.  4) Review Weekly Tracker and Milestones at the end of each week.  5) Use Capstone as your final portfolio definition of done.</x:v>
      </x:c>
      <x:c r="H56" s="336" t="str">
        <x:v>1) Change start date or weekly target on Setup.  2) Update each Topic Checklist status and attach evidence.  3) Record every study session in Practice Log.  4) Review Weekly Tracker and Milestones at the end of each week.  5) Use Capstone as your final portfolio definition of done.</x:v>
      </x:c>
      <x:c r="I56" s="336" t="str">
        <x:v>1) Change start date or weekly target on Setup.  2) Update each Topic Checklist status and attach evidence.  3) Record every study session in Practice Log.  4) Review Weekly Tracker and Milestones at the end of each week.  5) Use Capstone as your final portfolio definition of done.</x:v>
      </x:c>
      <x:c r="J56" s="336" t="str">
        <x:v>1) Change start date or weekly target on Setup.  2) Update each Topic Checklist status and attach evidence.  3) Record every study session in Practice Log.  4) Review Weekly Tracker and Milestones at the end of each week.  5) Use Capstone as your final portfolio definition of done.</x:v>
      </x:c>
      <x:c r="K56" s="336" t="str">
        <x:v>1) Change start date or weekly target on Setup.  2) Update each Topic Checklist status and attach evidence.  3) Record every study session in Practice Log.  4) Review Weekly Tracker and Milestones at the end of each week.  5) Use Capstone as your final portfolio definition of done.</x:v>
      </x:c>
      <x:c r="L56" s="337" t="str">
        <x:v>1) Change start date or weekly target on Setup.  2) Update each Topic Checklist status and attach evidence.  3) Record every study session in Practice Log.  4) Review Weekly Tracker and Milestones at the end of each week.  5) Use Capstone as your final portfolio definition of done.</x:v>
      </x:c>
    </x:row>
    <x:row r="57" ht="25" customHeight="1">
      <x:c r="A57" s="338" t="str">
        <x:v>1) Change start date or weekly target on Setup.  2) Update each Topic Checklist status and attach evidence.  3) Record every study session in Practice Log.  4) Review Weekly Tracker and Milestones at the end of each week.  5) Use Capstone as your final portfolio definition of done.</x:v>
      </x:c>
      <x:c r="B57" s="339" t="str">
        <x:v>1) Change start date or weekly target on Setup.  2) Update each Topic Checklist status and attach evidence.  3) Record every study session in Practice Log.  4) Review Weekly Tracker and Milestones at the end of each week.  5) Use Capstone as your final portfolio definition of done.</x:v>
      </x:c>
      <x:c r="C57" s="339" t="str">
        <x:v>1) Change start date or weekly target on Setup.  2) Update each Topic Checklist status and attach evidence.  3) Record every study session in Practice Log.  4) Review Weekly Tracker and Milestones at the end of each week.  5) Use Capstone as your final portfolio definition of done.</x:v>
      </x:c>
      <x:c r="D57" s="339" t="str">
        <x:v>1) Change start date or weekly target on Setup.  2) Update each Topic Checklist status and attach evidence.  3) Record every study session in Practice Log.  4) Review Weekly Tracker and Milestones at the end of each week.  5) Use Capstone as your final portfolio definition of done.</x:v>
      </x:c>
      <x:c r="E57" s="339" t="str">
        <x:v>1) Change start date or weekly target on Setup.  2) Update each Topic Checklist status and attach evidence.  3) Record every study session in Practice Log.  4) Review Weekly Tracker and Milestones at the end of each week.  5) Use Capstone as your final portfolio definition of done.</x:v>
      </x:c>
      <x:c r="F57" s="339" t="str">
        <x:v>1) Change start date or weekly target on Setup.  2) Update each Topic Checklist status and attach evidence.  3) Record every study session in Practice Log.  4) Review Weekly Tracker and Milestones at the end of each week.  5) Use Capstone as your final portfolio definition of done.</x:v>
      </x:c>
      <x:c r="G57" s="339" t="str">
        <x:v>1) Change start date or weekly target on Setup.  2) Update each Topic Checklist status and attach evidence.  3) Record every study session in Practice Log.  4) Review Weekly Tracker and Milestones at the end of each week.  5) Use Capstone as your final portfolio definition of done.</x:v>
      </x:c>
      <x:c r="H57" s="339" t="str">
        <x:v>1) Change start date or weekly target on Setup.  2) Update each Topic Checklist status and attach evidence.  3) Record every study session in Practice Log.  4) Review Weekly Tracker and Milestones at the end of each week.  5) Use Capstone as your final portfolio definition of done.</x:v>
      </x:c>
      <x:c r="I57" s="339" t="str">
        <x:v>1) Change start date or weekly target on Setup.  2) Update each Topic Checklist status and attach evidence.  3) Record every study session in Practice Log.  4) Review Weekly Tracker and Milestones at the end of each week.  5) Use Capstone as your final portfolio definition of done.</x:v>
      </x:c>
      <x:c r="J57" s="339" t="str">
        <x:v>1) Change start date or weekly target on Setup.  2) Update each Topic Checklist status and attach evidence.  3) Record every study session in Practice Log.  4) Review Weekly Tracker and Milestones at the end of each week.  5) Use Capstone as your final portfolio definition of done.</x:v>
      </x:c>
      <x:c r="K57" s="339" t="str">
        <x:v>1) Change start date or weekly target on Setup.  2) Update each Topic Checklist status and attach evidence.  3) Record every study session in Practice Log.  4) Review Weekly Tracker and Milestones at the end of each week.  5) Use Capstone as your final portfolio definition of done.</x:v>
      </x:c>
      <x:c r="L57" s="340" t="str">
        <x:v>1) Change start date or weekly target on Setup.  2) Update each Topic Checklist status and attach evidence.  3) Record every study session in Practice Log.  4) Review Weekly Tracker and Milestones at the end of each week.  5) Use Capstone as your final portfolio definition of done.</x:v>
      </x:c>
    </x:row>
    <x:row r="58" ht="25" customHeight="1">
      <x:c r="A58" s="341" t="str">
        <x:v>1) Change start date or weekly target on Setup.  2) Update each Topic Checklist status and attach evidence.  3) Record every study session in Practice Log.  4) Review Weekly Tracker and Milestones at the end of each week.  5) Use Capstone as your final portfolio definition of done.</x:v>
      </x:c>
      <x:c r="B58" s="342" t="str">
        <x:v>1) Change start date or weekly target on Setup.  2) Update each Topic Checklist status and attach evidence.  3) Record every study session in Practice Log.  4) Review Weekly Tracker and Milestones at the end of each week.  5) Use Capstone as your final portfolio definition of done.</x:v>
      </x:c>
      <x:c r="C58" s="342" t="str">
        <x:v>1) Change start date or weekly target on Setup.  2) Update each Topic Checklist status and attach evidence.  3) Record every study session in Practice Log.  4) Review Weekly Tracker and Milestones at the end of each week.  5) Use Capstone as your final portfolio definition of done.</x:v>
      </x:c>
      <x:c r="D58" s="342" t="str">
        <x:v>1) Change start date or weekly target on Setup.  2) Update each Topic Checklist status and attach evidence.  3) Record every study session in Practice Log.  4) Review Weekly Tracker and Milestones at the end of each week.  5) Use Capstone as your final portfolio definition of done.</x:v>
      </x:c>
      <x:c r="E58" s="342" t="str">
        <x:v>1) Change start date or weekly target on Setup.  2) Update each Topic Checklist status and attach evidence.  3) Record every study session in Practice Log.  4) Review Weekly Tracker and Milestones at the end of each week.  5) Use Capstone as your final portfolio definition of done.</x:v>
      </x:c>
      <x:c r="F58" s="342" t="str">
        <x:v>1) Change start date or weekly target on Setup.  2) Update each Topic Checklist status and attach evidence.  3) Record every study session in Practice Log.  4) Review Weekly Tracker and Milestones at the end of each week.  5) Use Capstone as your final portfolio definition of done.</x:v>
      </x:c>
      <x:c r="G58" s="342" t="str">
        <x:v>1) Change start date or weekly target on Setup.  2) Update each Topic Checklist status and attach evidence.  3) Record every study session in Practice Log.  4) Review Weekly Tracker and Milestones at the end of each week.  5) Use Capstone as your final portfolio definition of done.</x:v>
      </x:c>
      <x:c r="H58" s="342" t="str">
        <x:v>1) Change start date or weekly target on Setup.  2) Update each Topic Checklist status and attach evidence.  3) Record every study session in Practice Log.  4) Review Weekly Tracker and Milestones at the end of each week.  5) Use Capstone as your final portfolio definition of done.</x:v>
      </x:c>
      <x:c r="I58" s="342" t="str">
        <x:v>1) Change start date or weekly target on Setup.  2) Update each Topic Checklist status and attach evidence.  3) Record every study session in Practice Log.  4) Review Weekly Tracker and Milestones at the end of each week.  5) Use Capstone as your final portfolio definition of done.</x:v>
      </x:c>
      <x:c r="J58" s="342" t="str">
        <x:v>1) Change start date or weekly target on Setup.  2) Update each Topic Checklist status and attach evidence.  3) Record every study session in Practice Log.  4) Review Weekly Tracker and Milestones at the end of each week.  5) Use Capstone as your final portfolio definition of done.</x:v>
      </x:c>
      <x:c r="K58" s="342" t="str">
        <x:v>1) Change start date or weekly target on Setup.  2) Update each Topic Checklist status and attach evidence.  3) Record every study session in Practice Log.  4) Review Weekly Tracker and Milestones at the end of each week.  5) Use Capstone as your final portfolio definition of done.</x:v>
      </x:c>
      <x:c r="L58" s="343" t="str">
        <x:v>1) Change start date or weekly target on Setup.  2) Update each Topic Checklist status and attach evidence.  3) Record every study session in Practice Log.  4) Review Weekly Tracker and Milestones at the end of each week.  5) Use Capstone as your final portfolio definition of done.</x:v>
      </x:c>
    </x:row>
  </x:sheetData>
  <x:mergeCells>
    <x:mergeCell ref="A1:L2"/>
    <x:mergeCell ref="A3:L3"/>
    <x:mergeCell ref="A5:C5"/>
    <x:mergeCell ref="A6:C7"/>
    <x:mergeCell ref="D5:F5"/>
    <x:mergeCell ref="D6:F7"/>
    <x:mergeCell ref="G5:I5"/>
    <x:mergeCell ref="G6:I7"/>
    <x:mergeCell ref="J5:L5"/>
    <x:mergeCell ref="J6:L7"/>
    <x:mergeCell ref="A9:H9"/>
    <x:mergeCell ref="A10:B10"/>
    <x:mergeCell ref="A11:B11"/>
    <x:mergeCell ref="A12:B12"/>
    <x:mergeCell ref="C10:H10"/>
    <x:mergeCell ref="C11:H11"/>
    <x:mergeCell ref="C12:H12"/>
    <x:mergeCell ref="J9:L9"/>
    <x:mergeCell ref="J10:K10"/>
    <x:mergeCell ref="J11:K11"/>
    <x:mergeCell ref="J12:K12"/>
    <x:mergeCell ref="A55:L55"/>
    <x:mergeCell ref="A56:L58"/>
  </x:mergeCells>
  <x:conditionalFormatting sqref="B16:B22">
    <x:cfRule type="dataBar" priority="1">
      <x:dataBar>
        <x:cfvo type="min"/>
        <x:cfvo type="max"/>
        <x:color rgb="FF16A34A"/>
      </x:dataBar>
      <x:extLst>
        <x:ext xmlns:x14="http://schemas.microsoft.com/office/spreadsheetml/2009/9/main" uri="{B025F937-C7B1-47D3-B67F-A62EFF666E3E}">
          <x14:id>{E5D2A047-4238-8741-E2B3-85669B88D1C8}</x14:id>
        </x:ext>
      </x:extLst>
    </x:cfRule>
  </x:conditionalFormatting>
  <x:pageMargins left="0.7" right="0.7" top="0.75" bottom="0.75" header="0.3" footer="0.3"/>
  <x:drawing xmlns:r="http://schemas.openxmlformats.org/officeDocument/2006/relationships" r:id="R95788a5e71e14034"/>
  <x:extLst>
    <x:ext xmlns:x14="http://schemas.microsoft.com/office/spreadsheetml/2009/9/main" xmlns:xm="http://schemas.microsoft.com/office/excel/2006/main" uri="{78C0D931-6437-407d-A8EE-F0AAD7539E65}">
      <x14:conditionalFormattings>
        <x14:conditionalFormatting>
          <x14:cfRule type="dataBar" priority="1" id="{E5D2A047-4238-8741-E2B3-85669B88D1C8}">
            <x14:dataBar gradient="1">
              <x14:cfvo type="min"/>
              <x14:cfvo type="max"/>
              <x14:fillColor rgb="FF16A34A"/>
            </x14:dataBar>
          </x14:cfRule>
          <xm:sqref>B16:B22</xm:sqref>
        </x14:conditionalFormatting>
      </x14:conditionalFormattings>
    </x:ext>
  </x:extLst>
</x:worksheet>
</file>

<file path=xl/worksheets/sheet2.xml><?xml version="1.0" encoding="utf-8"?>
<x:worksheet xmlns:x="http://schemas.openxmlformats.org/spreadsheetml/2006/main">
  <x:sheetViews>
    <x:sheetView showGridLines="0" workbookViewId="0"/>
  </x:sheetViews>
  <x:sheetFormatPr defaultRowHeight="15"/>
  <x:cols>
    <x:col min="1" max="1" width="7" hidden="0" customWidth="1"/>
    <x:col min="2" max="2" width="13" hidden="0" customWidth="1"/>
    <x:col min="3" max="3" width="13" hidden="0" customWidth="1"/>
    <x:col min="4" max="4" width="23" hidden="0" customWidth="1"/>
    <x:col min="5" max="5" width="34" hidden="0" customWidth="1"/>
    <x:col min="6" max="6" width="42" hidden="0" customWidth="1"/>
    <x:col min="7" max="7" width="13" hidden="0" customWidth="1"/>
    <x:col min="8" max="8" width="13" hidden="0" customWidth="1"/>
    <x:col min="9" max="9" width="13" hidden="0" customWidth="1"/>
    <x:col min="10" max="10" width="16" hidden="0" customWidth="1"/>
    <x:col min="11" max="11" width="14" hidden="0" customWidth="1"/>
    <x:col min="12" max="12" width="32" hidden="0" customWidth="1"/>
  </x:cols>
  <x:sheetData>
    <x:row r="1" ht="30" customHeight="1">
      <x:c r="A1" s="359" t="str">
        <x:v>26-Week PL/SQL &amp; Oracle APEX Roadmap</x:v>
      </x:c>
      <x:c r="B1" s="359" t="str">
        <x:v>26-Week PL/SQL &amp; Oracle APEX Roadmap</x:v>
      </x:c>
      <x:c r="C1" s="359" t="str">
        <x:v>26-Week PL/SQL &amp; Oracle APEX Roadmap</x:v>
      </x:c>
      <x:c r="D1" s="359" t="str">
        <x:v>26-Week PL/SQL &amp; Oracle APEX Roadmap</x:v>
      </x:c>
      <x:c r="E1" s="359" t="str">
        <x:v>26-Week PL/SQL &amp; Oracle APEX Roadmap</x:v>
      </x:c>
      <x:c r="F1" s="359" t="str">
        <x:v>26-Week PL/SQL &amp; Oracle APEX Roadmap</x:v>
      </x:c>
      <x:c r="G1" s="359" t="str">
        <x:v>26-Week PL/SQL &amp; Oracle APEX Roadmap</x:v>
      </x:c>
      <x:c r="H1" s="359" t="str">
        <x:v>26-Week PL/SQL &amp; Oracle APEX Roadmap</x:v>
      </x:c>
      <x:c r="I1" s="359" t="str">
        <x:v>26-Week PL/SQL &amp; Oracle APEX Roadmap</x:v>
      </x:c>
      <x:c r="J1" s="359" t="str">
        <x:v>26-Week PL/SQL &amp; Oracle APEX Roadmap</x:v>
      </x:c>
      <x:c r="K1" s="359" t="str">
        <x:v>26-Week PL/SQL &amp; Oracle APEX Roadmap</x:v>
      </x:c>
      <x:c r="L1" s="359" t="str">
        <x:v>26-Week PL/SQL &amp; Oracle APEX Roadmap</x:v>
      </x:c>
    </x:row>
    <x:row r="2" ht="30" customHeight="1">
      <x:c r="A2" s="359" t="str">
        <x:v>26-Week PL/SQL &amp; Oracle APEX Roadmap</x:v>
      </x:c>
      <x:c r="B2" s="359" t="str">
        <x:v>26-Week PL/SQL &amp; Oracle APEX Roadmap</x:v>
      </x:c>
      <x:c r="C2" s="359" t="str">
        <x:v>26-Week PL/SQL &amp; Oracle APEX Roadmap</x:v>
      </x:c>
      <x:c r="D2" s="359" t="str">
        <x:v>26-Week PL/SQL &amp; Oracle APEX Roadmap</x:v>
      </x:c>
      <x:c r="E2" s="359" t="str">
        <x:v>26-Week PL/SQL &amp; Oracle APEX Roadmap</x:v>
      </x:c>
      <x:c r="F2" s="359" t="str">
        <x:v>26-Week PL/SQL &amp; Oracle APEX Roadmap</x:v>
      </x:c>
      <x:c r="G2" s="359" t="str">
        <x:v>26-Week PL/SQL &amp; Oracle APEX Roadmap</x:v>
      </x:c>
      <x:c r="H2" s="359" t="str">
        <x:v>26-Week PL/SQL &amp; Oracle APEX Roadmap</x:v>
      </x:c>
      <x:c r="I2" s="359" t="str">
        <x:v>26-Week PL/SQL &amp; Oracle APEX Roadmap</x:v>
      </x:c>
      <x:c r="J2" s="359" t="str">
        <x:v>26-Week PL/SQL &amp; Oracle APEX Roadmap</x:v>
      </x:c>
      <x:c r="K2" s="359" t="str">
        <x:v>26-Week PL/SQL &amp; Oracle APEX Roadmap</x:v>
      </x:c>
      <x:c r="L2" s="359" t="str">
        <x:v>26-Week PL/SQL &amp; Oracle APEX Roadmap</x:v>
      </x:c>
    </x:row>
    <x:row r="3" ht="22" customHeight="1">
      <x:c r="A3" s="266" t="str">
        <x:v>Weekly completion and actual hours are calculated from the Topic Checklist and Practice Log.</x:v>
      </x:c>
      <x:c r="B3" s="266" t="str">
        <x:v>Weekly completion and actual hours are calculated from the Topic Checklist and Practice Log.</x:v>
      </x:c>
      <x:c r="C3" s="266" t="str">
        <x:v>Weekly completion and actual hours are calculated from the Topic Checklist and Practice Log.</x:v>
      </x:c>
      <x:c r="D3" s="266" t="str">
        <x:v>Weekly completion and actual hours are calculated from the Topic Checklist and Practice Log.</x:v>
      </x:c>
      <x:c r="E3" s="266" t="str">
        <x:v>Weekly completion and actual hours are calculated from the Topic Checklist and Practice Log.</x:v>
      </x:c>
      <x:c r="F3" s="266" t="str">
        <x:v>Weekly completion and actual hours are calculated from the Topic Checklist and Practice Log.</x:v>
      </x:c>
      <x:c r="G3" s="266" t="str">
        <x:v>Weekly completion and actual hours are calculated from the Topic Checklist and Practice Log.</x:v>
      </x:c>
      <x:c r="H3" s="266" t="str">
        <x:v>Weekly completion and actual hours are calculated from the Topic Checklist and Practice Log.</x:v>
      </x:c>
      <x:c r="I3" s="266" t="str">
        <x:v>Weekly completion and actual hours are calculated from the Topic Checklist and Practice Log.</x:v>
      </x:c>
      <x:c r="J3" s="266" t="str">
        <x:v>Weekly completion and actual hours are calculated from the Topic Checklist and Practice Log.</x:v>
      </x:c>
      <x:c r="K3" s="266" t="str">
        <x:v>Weekly completion and actual hours are calculated from the Topic Checklist and Practice Log.</x:v>
      </x:c>
      <x:c r="L3" s="266" t="str">
        <x:v>Weekly completion and actual hours are calculated from the Topic Checklist and Practice Log.</x:v>
      </x:c>
    </x:row>
    <x:row r="4">
      <x:c r="A4" s="360" t="str">
        <x:v>Week</x:v>
      </x:c>
      <x:c r="B4" s="361" t="str">
        <x:v>Start</x:v>
      </x:c>
      <x:c r="C4" s="361" t="str">
        <x:v>End</x:v>
      </x:c>
      <x:c r="D4" s="361" t="str">
        <x:v>Phase</x:v>
      </x:c>
      <x:c r="E4" s="361" t="str">
        <x:v>Weekly Focus</x:v>
      </x:c>
      <x:c r="F4" s="361" t="str">
        <x:v>Exit Deliverable</x:v>
      </x:c>
      <x:c r="G4" s="361" t="str">
        <x:v>Planned Hours</x:v>
      </x:c>
      <x:c r="H4" s="361" t="str">
        <x:v>Actual Hours</x:v>
      </x:c>
      <x:c r="I4" s="361" t="str">
        <x:v>Status</x:v>
      </x:c>
      <x:c r="J4" s="361" t="str">
        <x:v>Topic Completion</x:v>
      </x:c>
      <x:c r="K4" s="361" t="str">
        <x:v>Hours Variance</x:v>
      </x:c>
      <x:c r="L4" s="362" t="str">
        <x:v>Weekly Review Notes</x:v>
      </x:c>
    </x:row>
    <x:row r="5" ht="38" customHeight="1">
      <x:c r="A5" s="267" t="n">
        <x:v>1</x:v>
      </x:c>
      <x:c r="B5" s="344" t="n">
        <x:f>'Setup'!$B$6+7*(A5-1)</x:f>
        <x:v>46223</x:v>
      </x:c>
      <x:c r="C5" s="344" t="n">
        <x:f>B5+6</x:f>
        <x:v>46229</x:v>
      </x:c>
      <x:c r="D5" s="345" t="str">
        <x:v>Oracle SQL</x:v>
      </x:c>
      <x:c r="E5" s="345" t="str">
        <x:v>Relational design and Oracle data types</x:v>
      </x:c>
      <x:c r="F5" s="345" t="str">
        <x:v>Inventory ERD and normalized table plan</x:v>
      </x:c>
      <x:c r="G5" s="346" t="n">
        <x:f>'Setup'!$B$7</x:f>
        <x:v>8</x:v>
      </x:c>
      <x:c r="H5" s="346" t="n">
        <x:f>SUMIF('Practice Log'!$B$5:$B$204,A5,'Practice Log'!$G$5:$G$204)</x:f>
        <x:v>0</x:v>
      </x:c>
      <x:c r="I5" s="347" t="str">
        <x:f>IF(J5=1,"Completed",IF(TODAY()&lt;B5,"Upcoming",IF(TODAY()&lt;=C5,"Active","Behind")))</x:f>
        <x:v>Upcoming</x:v>
      </x:c>
      <x:c r="J5" s="330" t="n">
        <x:f>IFERROR(AVERAGEIF('Topic Checklist'!$B$5:$B$134,A5,'Topic Checklist'!$I$5:$I$134),0)</x:f>
        <x:v>0</x:v>
      </x:c>
      <x:c r="K5" s="348" t="n">
        <x:f>H5-G5</x:f>
        <x:v>-8</x:v>
      </x:c>
      <x:c r="L5" s="345" t="str"/>
    </x:row>
    <x:row r="6" ht="38" customHeight="1">
      <x:c r="A6" s="267" t="n">
        <x:v>2</x:v>
      </x:c>
      <x:c r="B6" s="344" t="n">
        <x:f>'Setup'!$B$6+7*(A6-1)</x:f>
        <x:v>46230</x:v>
      </x:c>
      <x:c r="C6" s="344" t="n">
        <x:f>B6+6</x:f>
        <x:v>46236</x:v>
      </x:c>
      <x:c r="D6" s="345" t="str">
        <x:v>Oracle SQL</x:v>
      </x:c>
      <x:c r="E6" s="345" t="str">
        <x:v>SELECT, filtering and Oracle functions</x:v>
      </x:c>
      <x:c r="F6" s="345" t="str">
        <x:v>Twenty accurate single-table queries</x:v>
      </x:c>
      <x:c r="G6" s="346" t="n">
        <x:f>'Setup'!$B$7</x:f>
        <x:v>8</x:v>
      </x:c>
      <x:c r="H6" s="346" t="n">
        <x:f>SUMIF('Practice Log'!$B$5:$B$204,A6,'Practice Log'!$G$5:$G$204)</x:f>
        <x:v>0</x:v>
      </x:c>
      <x:c r="I6" s="347" t="str">
        <x:f>IF(J6=1,"Completed",IF(TODAY()&lt;B6,"Upcoming",IF(TODAY()&lt;=C6,"Active","Behind")))</x:f>
        <x:v>Upcoming</x:v>
      </x:c>
      <x:c r="J6" s="330" t="n">
        <x:f>IFERROR(AVERAGEIF('Topic Checklist'!$B$5:$B$134,A6,'Topic Checklist'!$I$5:$I$134),0)</x:f>
        <x:v>0</x:v>
      </x:c>
      <x:c r="K6" s="348" t="n">
        <x:f>H6-G6</x:f>
        <x:v>-8</x:v>
      </x:c>
      <x:c r="L6" s="345" t="str"/>
    </x:row>
    <x:row r="7" ht="38" customHeight="1">
      <x:c r="A7" s="267" t="n">
        <x:v>3</x:v>
      </x:c>
      <x:c r="B7" s="344" t="n">
        <x:f>'Setup'!$B$6+7*(A7-1)</x:f>
        <x:v>46237</x:v>
      </x:c>
      <x:c r="C7" s="344" t="n">
        <x:f>B7+6</x:f>
        <x:v>46243</x:v>
      </x:c>
      <x:c r="D7" s="345" t="str">
        <x:v>Oracle SQL</x:v>
      </x:c>
      <x:c r="E7" s="345" t="str">
        <x:v>Joins, aggregation and subqueries</x:v>
      </x:c>
      <x:c r="F7" s="345" t="str">
        <x:v>Sales and inventory reporting query set</x:v>
      </x:c>
      <x:c r="G7" s="346" t="n">
        <x:f>'Setup'!$B$7</x:f>
        <x:v>8</x:v>
      </x:c>
      <x:c r="H7" s="346" t="n">
        <x:f>SUMIF('Practice Log'!$B$5:$B$204,A7,'Practice Log'!$G$5:$G$204)</x:f>
        <x:v>0</x:v>
      </x:c>
      <x:c r="I7" s="347" t="str">
        <x:f>IF(J7=1,"Completed",IF(TODAY()&lt;B7,"Upcoming",IF(TODAY()&lt;=C7,"Active","Behind")))</x:f>
        <x:v>Upcoming</x:v>
      </x:c>
      <x:c r="J7" s="330" t="n">
        <x:f>IFERROR(AVERAGEIF('Topic Checklist'!$B$5:$B$134,A7,'Topic Checklist'!$I$5:$I$134),0)</x:f>
        <x:v>0</x:v>
      </x:c>
      <x:c r="K7" s="348" t="n">
        <x:f>H7-G7</x:f>
        <x:v>-8</x:v>
      </x:c>
      <x:c r="L7" s="345" t="str"/>
    </x:row>
    <x:row r="8" ht="38" customHeight="1">
      <x:c r="A8" s="267" t="n">
        <x:v>4</x:v>
      </x:c>
      <x:c r="B8" s="344" t="n">
        <x:f>'Setup'!$B$6+7*(A8-1)</x:f>
        <x:v>46244</x:v>
      </x:c>
      <x:c r="C8" s="344" t="n">
        <x:f>B8+6</x:f>
        <x:v>46250</x:v>
      </x:c>
      <x:c r="D8" s="345" t="str">
        <x:v>Oracle SQL</x:v>
      </x:c>
      <x:c r="E8" s="345" t="str">
        <x:v>DDL, DML, transactions and advanced SQL</x:v>
      </x:c>
      <x:c r="F8" s="345" t="str">
        <x:v>Working schema plus 40-query checkpoint</x:v>
      </x:c>
      <x:c r="G8" s="346" t="n">
        <x:f>'Setup'!$B$7</x:f>
        <x:v>8</x:v>
      </x:c>
      <x:c r="H8" s="346" t="n">
        <x:f>SUMIF('Practice Log'!$B$5:$B$204,A8,'Practice Log'!$G$5:$G$204)</x:f>
        <x:v>0</x:v>
      </x:c>
      <x:c r="I8" s="347" t="str">
        <x:f>IF(J8=1,"Completed",IF(TODAY()&lt;B8,"Upcoming",IF(TODAY()&lt;=C8,"Active","Behind")))</x:f>
        <x:v>Upcoming</x:v>
      </x:c>
      <x:c r="J8" s="330" t="n">
        <x:f>IFERROR(AVERAGEIF('Topic Checklist'!$B$5:$B$134,A8,'Topic Checklist'!$I$5:$I$134),0)</x:f>
        <x:v>0</x:v>
      </x:c>
      <x:c r="K8" s="348" t="n">
        <x:f>H8-G8</x:f>
        <x:v>-8</x:v>
      </x:c>
      <x:c r="L8" s="345" t="str"/>
    </x:row>
    <x:row r="9" ht="38" customHeight="1">
      <x:c r="A9" s="267" t="n">
        <x:v>5</x:v>
      </x:c>
      <x:c r="B9" s="344" t="n">
        <x:f>'Setup'!$B$6+7*(A9-1)</x:f>
        <x:v>46251</x:v>
      </x:c>
      <x:c r="C9" s="344" t="n">
        <x:f>B9+6</x:f>
        <x:v>46257</x:v>
      </x:c>
      <x:c r="D9" s="345" t="str">
        <x:v>PL/SQL Fundamentals</x:v>
      </x:c>
      <x:c r="E9" s="345" t="str">
        <x:v>PL/SQL blocks, variables and anchored types</x:v>
      </x:c>
      <x:c r="F9" s="345" t="str">
        <x:v>Anonymous blocks that safely read and calculate data</x:v>
      </x:c>
      <x:c r="G9" s="346" t="n">
        <x:f>'Setup'!$B$7</x:f>
        <x:v>8</x:v>
      </x:c>
      <x:c r="H9" s="346" t="n">
        <x:f>SUMIF('Practice Log'!$B$5:$B$204,A9,'Practice Log'!$G$5:$G$204)</x:f>
        <x:v>0</x:v>
      </x:c>
      <x:c r="I9" s="347" t="str">
        <x:f>IF(J9=1,"Completed",IF(TODAY()&lt;B9,"Upcoming",IF(TODAY()&lt;=C9,"Active","Behind")))</x:f>
        <x:v>Upcoming</x:v>
      </x:c>
      <x:c r="J9" s="330" t="n">
        <x:f>IFERROR(AVERAGEIF('Topic Checklist'!$B$5:$B$134,A9,'Topic Checklist'!$I$5:$I$134),0)</x:f>
        <x:v>0</x:v>
      </x:c>
      <x:c r="K9" s="348" t="n">
        <x:f>H9-G9</x:f>
        <x:v>-8</x:v>
      </x:c>
      <x:c r="L9" s="345" t="str"/>
    </x:row>
    <x:row r="10" ht="38" customHeight="1">
      <x:c r="A10" s="267" t="n">
        <x:v>6</x:v>
      </x:c>
      <x:c r="B10" s="344" t="n">
        <x:f>'Setup'!$B$6+7*(A10-1)</x:f>
        <x:v>46258</x:v>
      </x:c>
      <x:c r="C10" s="344" t="n">
        <x:f>B10+6</x:f>
        <x:v>46264</x:v>
      </x:c>
      <x:c r="D10" s="345" t="str">
        <x:v>PL/SQL Fundamentals</x:v>
      </x:c>
      <x:c r="E10" s="345" t="str">
        <x:v>Control flow and local logic</x:v>
      </x:c>
      <x:c r="F10" s="345" t="str">
        <x:v>Validated calculation and decision blocks</x:v>
      </x:c>
      <x:c r="G10" s="346" t="n">
        <x:f>'Setup'!$B$7</x:f>
        <x:v>8</x:v>
      </x:c>
      <x:c r="H10" s="346" t="n">
        <x:f>SUMIF('Practice Log'!$B$5:$B$204,A10,'Practice Log'!$G$5:$G$204)</x:f>
        <x:v>0</x:v>
      </x:c>
      <x:c r="I10" s="347" t="str">
        <x:f>IF(J10=1,"Completed",IF(TODAY()&lt;B10,"Upcoming",IF(TODAY()&lt;=C10,"Active","Behind")))</x:f>
        <x:v>Upcoming</x:v>
      </x:c>
      <x:c r="J10" s="330" t="n">
        <x:f>IFERROR(AVERAGEIF('Topic Checklist'!$B$5:$B$134,A10,'Topic Checklist'!$I$5:$I$134),0)</x:f>
        <x:v>0</x:v>
      </x:c>
      <x:c r="K10" s="348" t="n">
        <x:f>H10-G10</x:f>
        <x:v>-8</x:v>
      </x:c>
      <x:c r="L10" s="345" t="str"/>
    </x:row>
    <x:row r="11" ht="38" customHeight="1">
      <x:c r="A11" s="267" t="n">
        <x:v>7</x:v>
      </x:c>
      <x:c r="B11" s="344" t="n">
        <x:f>'Setup'!$B$6+7*(A11-1)</x:f>
        <x:v>46265</x:v>
      </x:c>
      <x:c r="C11" s="344" t="n">
        <x:f>B11+6</x:f>
        <x:v>46271</x:v>
      </x:c>
      <x:c r="D11" s="345" t="str">
        <x:v>PL/SQL Fundamentals</x:v>
      </x:c>
      <x:c r="E11" s="345" t="str">
        <x:v>SQL inside PL/SQL and transaction control</x:v>
      </x:c>
      <x:c r="F11" s="345" t="str">
        <x:v>Safe stock-update transaction</x:v>
      </x:c>
      <x:c r="G11" s="346" t="n">
        <x:f>'Setup'!$B$7</x:f>
        <x:v>8</x:v>
      </x:c>
      <x:c r="H11" s="346" t="n">
        <x:f>SUMIF('Practice Log'!$B$5:$B$204,A11,'Practice Log'!$G$5:$G$204)</x:f>
        <x:v>0</x:v>
      </x:c>
      <x:c r="I11" s="347" t="str">
        <x:f>IF(J11=1,"Completed",IF(TODAY()&lt;B11,"Upcoming",IF(TODAY()&lt;=C11,"Active","Behind")))</x:f>
        <x:v>Upcoming</x:v>
      </x:c>
      <x:c r="J11" s="330" t="n">
        <x:f>IFERROR(AVERAGEIF('Topic Checklist'!$B$5:$B$134,A11,'Topic Checklist'!$I$5:$I$134),0)</x:f>
        <x:v>0</x:v>
      </x:c>
      <x:c r="K11" s="348" t="n">
        <x:f>H11-G11</x:f>
        <x:v>-8</x:v>
      </x:c>
      <x:c r="L11" s="345" t="str"/>
    </x:row>
    <x:row r="12" ht="38" customHeight="1">
      <x:c r="A12" s="267" t="n">
        <x:v>8</x:v>
      </x:c>
      <x:c r="B12" s="344" t="n">
        <x:f>'Setup'!$B$6+7*(A12-1)</x:f>
        <x:v>46272</x:v>
      </x:c>
      <x:c r="C12" s="344" t="n">
        <x:f>B12+6</x:f>
        <x:v>46278</x:v>
      </x:c>
      <x:c r="D12" s="345" t="str">
        <x:v>PL/SQL Fundamentals</x:v>
      </x:c>
      <x:c r="E12" s="345" t="str">
        <x:v>Procedures, functions and exceptions</x:v>
      </x:c>
      <x:c r="F12" s="345" t="str">
        <x:v>Reusable order-calculation module</x:v>
      </x:c>
      <x:c r="G12" s="346" t="n">
        <x:f>'Setup'!$B$7</x:f>
        <x:v>8</x:v>
      </x:c>
      <x:c r="H12" s="346" t="n">
        <x:f>SUMIF('Practice Log'!$B$5:$B$204,A12,'Practice Log'!$G$5:$G$204)</x:f>
        <x:v>0</x:v>
      </x:c>
      <x:c r="I12" s="347" t="str">
        <x:f>IF(J12=1,"Completed",IF(TODAY()&lt;B12,"Upcoming",IF(TODAY()&lt;=C12,"Active","Behind")))</x:f>
        <x:v>Upcoming</x:v>
      </x:c>
      <x:c r="J12" s="330" t="n">
        <x:f>IFERROR(AVERAGEIF('Topic Checklist'!$B$5:$B$134,A12,'Topic Checklist'!$I$5:$I$134),0)</x:f>
        <x:v>0</x:v>
      </x:c>
      <x:c r="K12" s="348" t="n">
        <x:f>H12-G12</x:f>
        <x:v>-8</x:v>
      </x:c>
      <x:c r="L12" s="345" t="str"/>
    </x:row>
    <x:row r="13" ht="38" customHeight="1">
      <x:c r="A13" s="267" t="n">
        <x:v>9</x:v>
      </x:c>
      <x:c r="B13" s="344" t="n">
        <x:f>'Setup'!$B$6+7*(A13-1)</x:f>
        <x:v>46279</x:v>
      </x:c>
      <x:c r="C13" s="344" t="n">
        <x:f>B13+6</x:f>
        <x:v>46285</x:v>
      </x:c>
      <x:c r="D13" s="345" t="str">
        <x:v>Intermediate PL/SQL</x:v>
      </x:c>
      <x:c r="E13" s="345" t="str">
        <x:v>Advanced cursors and records</x:v>
      </x:c>
      <x:c r="F13" s="345" t="str">
        <x:v>Cursor-driven reporting procedure</x:v>
      </x:c>
      <x:c r="G13" s="346" t="n">
        <x:f>'Setup'!$B$7</x:f>
        <x:v>8</x:v>
      </x:c>
      <x:c r="H13" s="346" t="n">
        <x:f>SUMIF('Practice Log'!$B$5:$B$204,A13,'Practice Log'!$G$5:$G$204)</x:f>
        <x:v>0</x:v>
      </x:c>
      <x:c r="I13" s="347" t="str">
        <x:f>IF(J13=1,"Completed",IF(TODAY()&lt;B13,"Upcoming",IF(TODAY()&lt;=C13,"Active","Behind")))</x:f>
        <x:v>Upcoming</x:v>
      </x:c>
      <x:c r="J13" s="330" t="n">
        <x:f>IFERROR(AVERAGEIF('Topic Checklist'!$B$5:$B$134,A13,'Topic Checklist'!$I$5:$I$134),0)</x:f>
        <x:v>0</x:v>
      </x:c>
      <x:c r="K13" s="348" t="n">
        <x:f>H13-G13</x:f>
        <x:v>-8</x:v>
      </x:c>
      <x:c r="L13" s="345" t="str"/>
    </x:row>
    <x:row r="14" ht="38" customHeight="1">
      <x:c r="A14" s="267" t="n">
        <x:v>10</x:v>
      </x:c>
      <x:c r="B14" s="344" t="n">
        <x:f>'Setup'!$B$6+7*(A14-1)</x:f>
        <x:v>46286</x:v>
      </x:c>
      <x:c r="C14" s="344" t="n">
        <x:f>B14+6</x:f>
        <x:v>46292</x:v>
      </x:c>
      <x:c r="D14" s="345" t="str">
        <x:v>Intermediate PL/SQL</x:v>
      </x:c>
      <x:c r="E14" s="345" t="str">
        <x:v>Collections and in-memory processing</x:v>
      </x:c>
      <x:c r="F14" s="345" t="str">
        <x:v>Collection-based data transformation</x:v>
      </x:c>
      <x:c r="G14" s="346" t="n">
        <x:f>'Setup'!$B$7</x:f>
        <x:v>8</x:v>
      </x:c>
      <x:c r="H14" s="346" t="n">
        <x:f>SUMIF('Practice Log'!$B$5:$B$204,A14,'Practice Log'!$G$5:$G$204)</x:f>
        <x:v>0</x:v>
      </x:c>
      <x:c r="I14" s="347" t="str">
        <x:f>IF(J14=1,"Completed",IF(TODAY()&lt;B14,"Upcoming",IF(TODAY()&lt;=C14,"Active","Behind")))</x:f>
        <x:v>Upcoming</x:v>
      </x:c>
      <x:c r="J14" s="330" t="n">
        <x:f>IFERROR(AVERAGEIF('Topic Checklist'!$B$5:$B$134,A14,'Topic Checklist'!$I$5:$I$134),0)</x:f>
        <x:v>0</x:v>
      </x:c>
      <x:c r="K14" s="348" t="n">
        <x:f>H14-G14</x:f>
        <x:v>-8</x:v>
      </x:c>
      <x:c r="L14" s="345" t="str"/>
    </x:row>
    <x:row r="15" ht="38" customHeight="1">
      <x:c r="A15" s="267" t="n">
        <x:v>11</x:v>
      </x:c>
      <x:c r="B15" s="344" t="n">
        <x:f>'Setup'!$B$6+7*(A15-1)</x:f>
        <x:v>46293</x:v>
      </x:c>
      <x:c r="C15" s="344" t="n">
        <x:f>B15+6</x:f>
        <x:v>46299</x:v>
      </x:c>
      <x:c r="D15" s="345" t="str">
        <x:v>Intermediate PL/SQL</x:v>
      </x:c>
      <x:c r="E15" s="345" t="str">
        <x:v>Package architecture</x:v>
      </x:c>
      <x:c r="F15" s="345" t="str">
        <x:v>order_api package specification and body</x:v>
      </x:c>
      <x:c r="G15" s="346" t="n">
        <x:f>'Setup'!$B$7</x:f>
        <x:v>8</x:v>
      </x:c>
      <x:c r="H15" s="346" t="n">
        <x:f>SUMIF('Practice Log'!$B$5:$B$204,A15,'Practice Log'!$G$5:$G$204)</x:f>
        <x:v>0</x:v>
      </x:c>
      <x:c r="I15" s="347" t="str">
        <x:f>IF(J15=1,"Completed",IF(TODAY()&lt;B15,"Upcoming",IF(TODAY()&lt;=C15,"Active","Behind")))</x:f>
        <x:v>Upcoming</x:v>
      </x:c>
      <x:c r="J15" s="330" t="n">
        <x:f>IFERROR(AVERAGEIF('Topic Checklist'!$B$5:$B$134,A15,'Topic Checklist'!$I$5:$I$134),0)</x:f>
        <x:v>0</x:v>
      </x:c>
      <x:c r="K15" s="348" t="n">
        <x:f>H15-G15</x:f>
        <x:v>-8</x:v>
      </x:c>
      <x:c r="L15" s="345" t="str"/>
    </x:row>
    <x:row r="16" ht="38" customHeight="1">
      <x:c r="A16" s="267" t="n">
        <x:v>12</x:v>
      </x:c>
      <x:c r="B16" s="344" t="n">
        <x:f>'Setup'!$B$6+7*(A16-1)</x:f>
        <x:v>46300</x:v>
      </x:c>
      <x:c r="C16" s="344" t="n">
        <x:f>B16+6</x:f>
        <x:v>46306</x:v>
      </x:c>
      <x:c r="D16" s="345" t="str">
        <x:v>Intermediate PL/SQL</x:v>
      </x:c>
      <x:c r="E16" s="345" t="str">
        <x:v>Triggers and error architecture</x:v>
      </x:c>
      <x:c r="F16" s="345" t="str">
        <x:v>Audited package API with structured errors</x:v>
      </x:c>
      <x:c r="G16" s="346" t="n">
        <x:f>'Setup'!$B$7</x:f>
        <x:v>8</x:v>
      </x:c>
      <x:c r="H16" s="346" t="n">
        <x:f>SUMIF('Practice Log'!$B$5:$B$204,A16,'Practice Log'!$G$5:$G$204)</x:f>
        <x:v>0</x:v>
      </x:c>
      <x:c r="I16" s="347" t="str">
        <x:f>IF(J16=1,"Completed",IF(TODAY()&lt;B16,"Upcoming",IF(TODAY()&lt;=C16,"Active","Behind")))</x:f>
        <x:v>Upcoming</x:v>
      </x:c>
      <x:c r="J16" s="330" t="n">
        <x:f>IFERROR(AVERAGEIF('Topic Checklist'!$B$5:$B$134,A16,'Topic Checklist'!$I$5:$I$134),0)</x:f>
        <x:v>0</x:v>
      </x:c>
      <x:c r="K16" s="348" t="n">
        <x:f>H16-G16</x:f>
        <x:v>-8</x:v>
      </x:c>
      <x:c r="L16" s="345" t="str"/>
    </x:row>
    <x:row r="17" ht="38" customHeight="1">
      <x:c r="A17" s="267" t="n">
        <x:v>13</x:v>
      </x:c>
      <x:c r="B17" s="344" t="n">
        <x:f>'Setup'!$B$6+7*(A17-1)</x:f>
        <x:v>46307</x:v>
      </x:c>
      <x:c r="C17" s="344" t="n">
        <x:f>B17+6</x:f>
        <x:v>46313</x:v>
      </x:c>
      <x:c r="D17" s="345" t="str">
        <x:v>Enterprise PL/SQL</x:v>
      </x:c>
      <x:c r="E17" s="345" t="str">
        <x:v>Transactions, locking and concurrency</x:v>
      </x:c>
      <x:c r="F17" s="345" t="str">
        <x:v>Two-session stock reservation test</x:v>
      </x:c>
      <x:c r="G17" s="346" t="n">
        <x:f>'Setup'!$B$7</x:f>
        <x:v>8</x:v>
      </x:c>
      <x:c r="H17" s="346" t="n">
        <x:f>SUMIF('Practice Log'!$B$5:$B$204,A17,'Practice Log'!$G$5:$G$204)</x:f>
        <x:v>0</x:v>
      </x:c>
      <x:c r="I17" s="347" t="str">
        <x:f>IF(J17=1,"Completed",IF(TODAY()&lt;B17,"Upcoming",IF(TODAY()&lt;=C17,"Active","Behind")))</x:f>
        <x:v>Upcoming</x:v>
      </x:c>
      <x:c r="J17" s="330" t="n">
        <x:f>IFERROR(AVERAGEIF('Topic Checklist'!$B$5:$B$134,A17,'Topic Checklist'!$I$5:$I$134),0)</x:f>
        <x:v>0</x:v>
      </x:c>
      <x:c r="K17" s="348" t="n">
        <x:f>H17-G17</x:f>
        <x:v>-8</x:v>
      </x:c>
      <x:c r="L17" s="345" t="str"/>
    </x:row>
    <x:row r="18" ht="38" customHeight="1">
      <x:c r="A18" s="267" t="n">
        <x:v>14</x:v>
      </x:c>
      <x:c r="B18" s="344" t="n">
        <x:f>'Setup'!$B$6+7*(A18-1)</x:f>
        <x:v>46314</x:v>
      </x:c>
      <x:c r="C18" s="344" t="n">
        <x:f>B18+6</x:f>
        <x:v>46320</x:v>
      </x:c>
      <x:c r="D18" s="345" t="str">
        <x:v>Enterprise PL/SQL</x:v>
      </x:c>
      <x:c r="E18" s="345" t="str">
        <x:v>Dynamic SQL and SQL-injection defense</x:v>
      </x:c>
      <x:c r="F18" s="345" t="str">
        <x:v>Secure dynamic reporting procedure</x:v>
      </x:c>
      <x:c r="G18" s="346" t="n">
        <x:f>'Setup'!$B$7</x:f>
        <x:v>8</x:v>
      </x:c>
      <x:c r="H18" s="346" t="n">
        <x:f>SUMIF('Practice Log'!$B$5:$B$204,A18,'Practice Log'!$G$5:$G$204)</x:f>
        <x:v>0</x:v>
      </x:c>
      <x:c r="I18" s="347" t="str">
        <x:f>IF(J18=1,"Completed",IF(TODAY()&lt;B18,"Upcoming",IF(TODAY()&lt;=C18,"Active","Behind")))</x:f>
        <x:v>Upcoming</x:v>
      </x:c>
      <x:c r="J18" s="330" t="n">
        <x:f>IFERROR(AVERAGEIF('Topic Checklist'!$B$5:$B$134,A18,'Topic Checklist'!$I$5:$I$134),0)</x:f>
        <x:v>0</x:v>
      </x:c>
      <x:c r="K18" s="348" t="n">
        <x:f>H18-G18</x:f>
        <x:v>-8</x:v>
      </x:c>
      <x:c r="L18" s="345" t="str"/>
    </x:row>
    <x:row r="19" ht="38" customHeight="1">
      <x:c r="A19" s="267" t="n">
        <x:v>15</x:v>
      </x:c>
      <x:c r="B19" s="344" t="n">
        <x:f>'Setup'!$B$6+7*(A19-1)</x:f>
        <x:v>46321</x:v>
      </x:c>
      <x:c r="C19" s="344" t="n">
        <x:f>B19+6</x:f>
        <x:v>46327</x:v>
      </x:c>
      <x:c r="D19" s="345" t="str">
        <x:v>Enterprise PL/SQL</x:v>
      </x:c>
      <x:c r="E19" s="345" t="str">
        <x:v>Privileges, roles and execution rights</x:v>
      </x:c>
      <x:c r="F19" s="345" t="str">
        <x:v>Least-privilege package access model</x:v>
      </x:c>
      <x:c r="G19" s="346" t="n">
        <x:f>'Setup'!$B$7</x:f>
        <x:v>8</x:v>
      </x:c>
      <x:c r="H19" s="346" t="n">
        <x:f>SUMIF('Practice Log'!$B$5:$B$204,A19,'Practice Log'!$G$5:$G$204)</x:f>
        <x:v>0</x:v>
      </x:c>
      <x:c r="I19" s="347" t="str">
        <x:f>IF(J19=1,"Completed",IF(TODAY()&lt;B19,"Upcoming",IF(TODAY()&lt;=C19,"Active","Behind")))</x:f>
        <x:v>Upcoming</x:v>
      </x:c>
      <x:c r="J19" s="330" t="n">
        <x:f>IFERROR(AVERAGEIF('Topic Checklist'!$B$5:$B$134,A19,'Topic Checklist'!$I$5:$I$134),0)</x:f>
        <x:v>0</x:v>
      </x:c>
      <x:c r="K19" s="348" t="n">
        <x:f>H19-G19</x:f>
        <x:v>-8</x:v>
      </x:c>
      <x:c r="L19" s="345" t="str"/>
    </x:row>
    <x:row r="20" ht="38" customHeight="1">
      <x:c r="A20" s="267" t="n">
        <x:v>16</x:v>
      </x:c>
      <x:c r="B20" s="344" t="n">
        <x:f>'Setup'!$B$6+7*(A20-1)</x:f>
        <x:v>46328</x:v>
      </x:c>
      <x:c r="C20" s="344" t="n">
        <x:f>B20+6</x:f>
        <x:v>46334</x:v>
      </x:c>
      <x:c r="D20" s="345" t="str">
        <x:v>Enterprise PL/SQL</x:v>
      </x:c>
      <x:c r="E20" s="345" t="str">
        <x:v>Jobs, LOBs, JSON and REST fundamentals</x:v>
      </x:c>
      <x:c r="F20" s="345" t="str">
        <x:v>Scheduled low-stock notification process</x:v>
      </x:c>
      <x:c r="G20" s="346" t="n">
        <x:f>'Setup'!$B$7</x:f>
        <x:v>8</x:v>
      </x:c>
      <x:c r="H20" s="346" t="n">
        <x:f>SUMIF('Practice Log'!$B$5:$B$204,A20,'Practice Log'!$G$5:$G$204)</x:f>
        <x:v>0</x:v>
      </x:c>
      <x:c r="I20" s="347" t="str">
        <x:f>IF(J20=1,"Completed",IF(TODAY()&lt;B20,"Upcoming",IF(TODAY()&lt;=C20,"Active","Behind")))</x:f>
        <x:v>Upcoming</x:v>
      </x:c>
      <x:c r="J20" s="330" t="n">
        <x:f>IFERROR(AVERAGEIF('Topic Checklist'!$B$5:$B$134,A20,'Topic Checklist'!$I$5:$I$134),0)</x:f>
        <x:v>0</x:v>
      </x:c>
      <x:c r="K20" s="348" t="n">
        <x:f>H20-G20</x:f>
        <x:v>-8</x:v>
      </x:c>
      <x:c r="L20" s="345" t="str"/>
    </x:row>
    <x:row r="21" ht="38" customHeight="1">
      <x:c r="A21" s="267" t="n">
        <x:v>17</x:v>
      </x:c>
      <x:c r="B21" s="344" t="n">
        <x:f>'Setup'!$B$6+7*(A21-1)</x:f>
        <x:v>46335</x:v>
      </x:c>
      <x:c r="C21" s="344" t="n">
        <x:f>B21+6</x:f>
        <x:v>46341</x:v>
      </x:c>
      <x:c r="D21" s="345" t="str">
        <x:v>Production PL/SQL</x:v>
      </x:c>
      <x:c r="E21" s="345" t="str">
        <x:v>SQL performance and execution plans</x:v>
      </x:c>
      <x:c r="F21" s="345" t="str">
        <x:v>Measured tuning of a slow report</x:v>
      </x:c>
      <x:c r="G21" s="346" t="n">
        <x:f>'Setup'!$B$7</x:f>
        <x:v>8</x:v>
      </x:c>
      <x:c r="H21" s="346" t="n">
        <x:f>SUMIF('Practice Log'!$B$5:$B$204,A21,'Practice Log'!$G$5:$G$204)</x:f>
        <x:v>0</x:v>
      </x:c>
      <x:c r="I21" s="347" t="str">
        <x:f>IF(J21=1,"Completed",IF(TODAY()&lt;B21,"Upcoming",IF(TODAY()&lt;=C21,"Active","Behind")))</x:f>
        <x:v>Upcoming</x:v>
      </x:c>
      <x:c r="J21" s="330" t="n">
        <x:f>IFERROR(AVERAGEIF('Topic Checklist'!$B$5:$B$134,A21,'Topic Checklist'!$I$5:$I$134),0)</x:f>
        <x:v>0</x:v>
      </x:c>
      <x:c r="K21" s="348" t="n">
        <x:f>H21-G21</x:f>
        <x:v>-8</x:v>
      </x:c>
      <x:c r="L21" s="345" t="str"/>
    </x:row>
    <x:row r="22" ht="38" customHeight="1">
      <x:c r="A22" s="267" t="n">
        <x:v>18</x:v>
      </x:c>
      <x:c r="B22" s="344" t="n">
        <x:f>'Setup'!$B$6+7*(A22-1)</x:f>
        <x:v>46342</x:v>
      </x:c>
      <x:c r="C22" s="344" t="n">
        <x:f>B22+6</x:f>
        <x:v>46348</x:v>
      </x:c>
      <x:c r="D22" s="345" t="str">
        <x:v>Production PL/SQL</x:v>
      </x:c>
      <x:c r="E22" s="345" t="str">
        <x:v>Bulk PL/SQL and context switching</x:v>
      </x:c>
      <x:c r="F22" s="345" t="str">
        <x:v>Benchmark: row-by-row versus bulk processing</x:v>
      </x:c>
      <x:c r="G22" s="346" t="n">
        <x:f>'Setup'!$B$7</x:f>
        <x:v>8</x:v>
      </x:c>
      <x:c r="H22" s="346" t="n">
        <x:f>SUMIF('Practice Log'!$B$5:$B$204,A22,'Practice Log'!$G$5:$G$204)</x:f>
        <x:v>0</x:v>
      </x:c>
      <x:c r="I22" s="347" t="str">
        <x:f>IF(J22=1,"Completed",IF(TODAY()&lt;B22,"Upcoming",IF(TODAY()&lt;=C22,"Active","Behind")))</x:f>
        <x:v>Upcoming</x:v>
      </x:c>
      <x:c r="J22" s="330" t="n">
        <x:f>IFERROR(AVERAGEIF('Topic Checklist'!$B$5:$B$134,A22,'Topic Checklist'!$I$5:$I$134),0)</x:f>
        <x:v>0</x:v>
      </x:c>
      <x:c r="K22" s="348" t="n">
        <x:f>H22-G22</x:f>
        <x:v>-8</x:v>
      </x:c>
      <x:c r="L22" s="345" t="str"/>
    </x:row>
    <x:row r="23" ht="38" customHeight="1">
      <x:c r="A23" s="267" t="n">
        <x:v>19</x:v>
      </x:c>
      <x:c r="B23" s="344" t="n">
        <x:f>'Setup'!$B$6+7*(A23-1)</x:f>
        <x:v>46349</x:v>
      </x:c>
      <x:c r="C23" s="344" t="n">
        <x:f>B23+6</x:f>
        <x:v>46355</x:v>
      </x:c>
      <x:c r="D23" s="345" t="str">
        <x:v>Production PL/SQL</x:v>
      </x:c>
      <x:c r="E23" s="345" t="str">
        <x:v>Automated testing with utPLSQL</x:v>
      </x:c>
      <x:c r="F23" s="345" t="str">
        <x:v>Automated tests for a business package</x:v>
      </x:c>
      <x:c r="G23" s="346" t="n">
        <x:f>'Setup'!$B$7</x:f>
        <x:v>8</x:v>
      </x:c>
      <x:c r="H23" s="346" t="n">
        <x:f>SUMIF('Practice Log'!$B$5:$B$204,A23,'Practice Log'!$G$5:$G$204)</x:f>
        <x:v>0</x:v>
      </x:c>
      <x:c r="I23" s="347" t="str">
        <x:f>IF(J23=1,"Completed",IF(TODAY()&lt;B23,"Upcoming",IF(TODAY()&lt;=C23,"Active","Behind")))</x:f>
        <x:v>Upcoming</x:v>
      </x:c>
      <x:c r="J23" s="330" t="n">
        <x:f>IFERROR(AVERAGEIF('Topic Checklist'!$B$5:$B$134,A23,'Topic Checklist'!$I$5:$I$134),0)</x:f>
        <x:v>0</x:v>
      </x:c>
      <x:c r="K23" s="348" t="n">
        <x:f>H23-G23</x:f>
        <x:v>-8</x:v>
      </x:c>
      <x:c r="L23" s="345" t="str"/>
    </x:row>
    <x:row r="24" ht="38" customHeight="1">
      <x:c r="A24" s="267" t="n">
        <x:v>20</x:v>
      </x:c>
      <x:c r="B24" s="344" t="n">
        <x:f>'Setup'!$B$6+7*(A24-1)</x:f>
        <x:v>46356</x:v>
      </x:c>
      <x:c r="C24" s="344" t="n">
        <x:f>B24+6</x:f>
        <x:v>46362</x:v>
      </x:c>
      <x:c r="D24" s="345" t="str">
        <x:v>Production PL/SQL</x:v>
      </x:c>
      <x:c r="E24" s="345" t="str">
        <x:v>Debugging, instrumentation and database DevOps</x:v>
      </x:c>
      <x:c r="F24" s="345" t="str">
        <x:v>Release-ready, versioned package module</x:v>
      </x:c>
      <x:c r="G24" s="346" t="n">
        <x:f>'Setup'!$B$7</x:f>
        <x:v>8</x:v>
      </x:c>
      <x:c r="H24" s="346" t="n">
        <x:f>SUMIF('Practice Log'!$B$5:$B$204,A24,'Practice Log'!$G$5:$G$204)</x:f>
        <x:v>0</x:v>
      </x:c>
      <x:c r="I24" s="347" t="str">
        <x:f>IF(J24=1,"Completed",IF(TODAY()&lt;B24,"Upcoming",IF(TODAY()&lt;=C24,"Active","Behind")))</x:f>
        <x:v>Upcoming</x:v>
      </x:c>
      <x:c r="J24" s="330" t="n">
        <x:f>IFERROR(AVERAGEIF('Topic Checklist'!$B$5:$B$134,A24,'Topic Checklist'!$I$5:$I$134),0)</x:f>
        <x:v>0</x:v>
      </x:c>
      <x:c r="K24" s="348" t="n">
        <x:f>H24-G24</x:f>
        <x:v>-8</x:v>
      </x:c>
      <x:c r="L24" s="345" t="str"/>
    </x:row>
    <x:row r="25" ht="38" customHeight="1">
      <x:c r="A25" s="267" t="n">
        <x:v>21</x:v>
      </x:c>
      <x:c r="B25" s="344" t="n">
        <x:f>'Setup'!$B$6+7*(A25-1)</x:f>
        <x:v>46363</x:v>
      </x:c>
      <x:c r="C25" s="344" t="n">
        <x:f>B25+6</x:f>
        <x:v>46369</x:v>
      </x:c>
      <x:c r="D25" s="345" t="str">
        <x:v>APEX Integration</x:v>
      </x:c>
      <x:c r="E25" s="345" t="str">
        <x:v>APEX lifecycle, session state and processing</x:v>
      </x:c>
      <x:c r="F25" s="345" t="str">
        <x:v>APEX page calling a packaged business API</x:v>
      </x:c>
      <x:c r="G25" s="346" t="n">
        <x:f>'Setup'!$B$7</x:f>
        <x:v>8</x:v>
      </x:c>
      <x:c r="H25" s="346" t="n">
        <x:f>SUMIF('Practice Log'!$B$5:$B$204,A25,'Practice Log'!$G$5:$G$204)</x:f>
        <x:v>0</x:v>
      </x:c>
      <x:c r="I25" s="347" t="str">
        <x:f>IF(J25=1,"Completed",IF(TODAY()&lt;B25,"Upcoming",IF(TODAY()&lt;=C25,"Active","Behind")))</x:f>
        <x:v>Upcoming</x:v>
      </x:c>
      <x:c r="J25" s="330" t="n">
        <x:f>IFERROR(AVERAGEIF('Topic Checklist'!$B$5:$B$134,A25,'Topic Checklist'!$I$5:$I$134),0)</x:f>
        <x:v>0</x:v>
      </x:c>
      <x:c r="K25" s="348" t="n">
        <x:f>H25-G25</x:f>
        <x:v>-8</x:v>
      </x:c>
      <x:c r="L25" s="345" t="str"/>
    </x:row>
    <x:row r="26" ht="38" customHeight="1">
      <x:c r="A26" s="267" t="n">
        <x:v>22</x:v>
      </x:c>
      <x:c r="B26" s="344" t="n">
        <x:f>'Setup'!$B$6+7*(A26-1)</x:f>
        <x:v>46370</x:v>
      </x:c>
      <x:c r="C26" s="344" t="n">
        <x:f>B26+6</x:f>
        <x:v>46376</x:v>
      </x:c>
      <x:c r="D26" s="345" t="str">
        <x:v>APEX Integration</x:v>
      </x:c>
      <x:c r="E26" s="345" t="str">
        <x:v>APEX security and core PL/SQL APIs</x:v>
      </x:c>
      <x:c r="F26" s="345" t="str">
        <x:v>Secure, validated and instrumented APEX flow</x:v>
      </x:c>
      <x:c r="G26" s="346" t="n">
        <x:f>'Setup'!$B$7</x:f>
        <x:v>8</x:v>
      </x:c>
      <x:c r="H26" s="346" t="n">
        <x:f>SUMIF('Practice Log'!$B$5:$B$204,A26,'Practice Log'!$G$5:$G$204)</x:f>
        <x:v>0</x:v>
      </x:c>
      <x:c r="I26" s="347" t="str">
        <x:f>IF(J26=1,"Completed",IF(TODAY()&lt;B26,"Upcoming",IF(TODAY()&lt;=C26,"Active","Behind")))</x:f>
        <x:v>Upcoming</x:v>
      </x:c>
      <x:c r="J26" s="330" t="n">
        <x:f>IFERROR(AVERAGEIF('Topic Checklist'!$B$5:$B$134,A26,'Topic Checklist'!$I$5:$I$134),0)</x:f>
        <x:v>0</x:v>
      </x:c>
      <x:c r="K26" s="348" t="n">
        <x:f>H26-G26</x:f>
        <x:v>-8</x:v>
      </x:c>
      <x:c r="L26" s="345" t="str"/>
    </x:row>
    <x:row r="27" ht="38" customHeight="1">
      <x:c r="A27" s="267" t="n">
        <x:v>23</x:v>
      </x:c>
      <x:c r="B27" s="344" t="n">
        <x:f>'Setup'!$B$6+7*(A27-1)</x:f>
        <x:v>46377</x:v>
      </x:c>
      <x:c r="C27" s="344" t="n">
        <x:f>B27+6</x:f>
        <x:v>46383</x:v>
      </x:c>
      <x:c r="D27" s="345" t="str">
        <x:v>Capstone</x:v>
      </x:c>
      <x:c r="E27" s="345" t="str">
        <x:v>Capstone requirements and architecture</x:v>
      </x:c>
      <x:c r="F27" s="345" t="str">
        <x:v>Approved ERD, package contracts and build plan</x:v>
      </x:c>
      <x:c r="G27" s="346" t="n">
        <x:f>'Setup'!$B$7</x:f>
        <x:v>8</x:v>
      </x:c>
      <x:c r="H27" s="346" t="n">
        <x:f>SUMIF('Practice Log'!$B$5:$B$204,A27,'Practice Log'!$G$5:$G$204)</x:f>
        <x:v>0</x:v>
      </x:c>
      <x:c r="I27" s="347" t="str">
        <x:f>IF(J27=1,"Completed",IF(TODAY()&lt;B27,"Upcoming",IF(TODAY()&lt;=C27,"Active","Behind")))</x:f>
        <x:v>Upcoming</x:v>
      </x:c>
      <x:c r="J27" s="330" t="n">
        <x:f>IFERROR(AVERAGEIF('Topic Checklist'!$B$5:$B$134,A27,'Topic Checklist'!$I$5:$I$134),0)</x:f>
        <x:v>0</x:v>
      </x:c>
      <x:c r="K27" s="348" t="n">
        <x:f>H27-G27</x:f>
        <x:v>-8</x:v>
      </x:c>
      <x:c r="L27" s="345" t="str"/>
    </x:row>
    <x:row r="28" ht="38" customHeight="1">
      <x:c r="A28" s="267" t="n">
        <x:v>24</x:v>
      </x:c>
      <x:c r="B28" s="344" t="n">
        <x:f>'Setup'!$B$6+7*(A28-1)</x:f>
        <x:v>46384</x:v>
      </x:c>
      <x:c r="C28" s="344" t="n">
        <x:f>B28+6</x:f>
        <x:v>46390</x:v>
      </x:c>
      <x:c r="D28" s="345" t="str">
        <x:v>Capstone</x:v>
      </x:c>
      <x:c r="E28" s="345" t="str">
        <x:v>Capstone core transaction workflows</x:v>
      </x:c>
      <x:c r="F28" s="345" t="str">
        <x:v>Working inventory and order workflow</x:v>
      </x:c>
      <x:c r="G28" s="346" t="n">
        <x:f>'Setup'!$B$7</x:f>
        <x:v>8</x:v>
      </x:c>
      <x:c r="H28" s="346" t="n">
        <x:f>SUMIF('Practice Log'!$B$5:$B$204,A28,'Practice Log'!$G$5:$G$204)</x:f>
        <x:v>0</x:v>
      </x:c>
      <x:c r="I28" s="347" t="str">
        <x:f>IF(J28=1,"Completed",IF(TODAY()&lt;B28,"Upcoming",IF(TODAY()&lt;=C28,"Active","Behind")))</x:f>
        <x:v>Upcoming</x:v>
      </x:c>
      <x:c r="J28" s="330" t="n">
        <x:f>IFERROR(AVERAGEIF('Topic Checklist'!$B$5:$B$134,A28,'Topic Checklist'!$I$5:$I$134),0)</x:f>
        <x:v>0</x:v>
      </x:c>
      <x:c r="K28" s="348" t="n">
        <x:f>H28-G28</x:f>
        <x:v>-8</x:v>
      </x:c>
      <x:c r="L28" s="345" t="str"/>
    </x:row>
    <x:row r="29" ht="38" customHeight="1">
      <x:c r="A29" s="267" t="n">
        <x:v>25</x:v>
      </x:c>
      <x:c r="B29" s="344" t="n">
        <x:f>'Setup'!$B$6+7*(A29-1)</x:f>
        <x:v>46391</x:v>
      </x:c>
      <x:c r="C29" s="344" t="n">
        <x:f>B29+6</x:f>
        <x:v>46397</x:v>
      </x:c>
      <x:c r="D29" s="345" t="str">
        <x:v>Capstone</x:v>
      </x:c>
      <x:c r="E29" s="345" t="str">
        <x:v>Capstone reporting and integrations</x:v>
      </x:c>
      <x:c r="F29" s="345" t="str">
        <x:v>Operational dashboard, jobs and integrations</x:v>
      </x:c>
      <x:c r="G29" s="346" t="n">
        <x:f>'Setup'!$B$7</x:f>
        <x:v>8</x:v>
      </x:c>
      <x:c r="H29" s="346" t="n">
        <x:f>SUMIF('Practice Log'!$B$5:$B$204,A29,'Practice Log'!$G$5:$G$204)</x:f>
        <x:v>0</x:v>
      </x:c>
      <x:c r="I29" s="347" t="str">
        <x:f>IF(J29=1,"Completed",IF(TODAY()&lt;B29,"Upcoming",IF(TODAY()&lt;=C29,"Active","Behind")))</x:f>
        <x:v>Upcoming</x:v>
      </x:c>
      <x:c r="J29" s="330" t="n">
        <x:f>IFERROR(AVERAGEIF('Topic Checklist'!$B$5:$B$134,A29,'Topic Checklist'!$I$5:$I$134),0)</x:f>
        <x:v>0</x:v>
      </x:c>
      <x:c r="K29" s="348" t="n">
        <x:f>H29-G29</x:f>
        <x:v>-8</x:v>
      </x:c>
      <x:c r="L29" s="345" t="str"/>
    </x:row>
    <x:row r="30" ht="38" customHeight="1">
      <x:c r="A30" s="267" t="n">
        <x:v>26</x:v>
      </x:c>
      <x:c r="B30" s="344" t="n">
        <x:f>'Setup'!$B$6+7*(A30-1)</x:f>
        <x:v>46398</x:v>
      </x:c>
      <x:c r="C30" s="344" t="n">
        <x:f>B30+6</x:f>
        <x:v>46404</x:v>
      </x:c>
      <x:c r="D30" s="345" t="str">
        <x:v>Capstone</x:v>
      </x:c>
      <x:c r="E30" s="345" t="str">
        <x:v>Hardening, documentation and demonstration</x:v>
      </x:c>
      <x:c r="F30" s="345" t="str">
        <x:v>Portfolio-ready application and repository</x:v>
      </x:c>
      <x:c r="G30" s="346" t="n">
        <x:f>'Setup'!$B$7</x:f>
        <x:v>8</x:v>
      </x:c>
      <x:c r="H30" s="346" t="n">
        <x:f>SUMIF('Practice Log'!$B$5:$B$204,A30,'Practice Log'!$G$5:$G$204)</x:f>
        <x:v>0</x:v>
      </x:c>
      <x:c r="I30" s="347" t="str">
        <x:f>IF(J30=1,"Completed",IF(TODAY()&lt;B30,"Upcoming",IF(TODAY()&lt;=C30,"Active","Behind")))</x:f>
        <x:v>Upcoming</x:v>
      </x:c>
      <x:c r="J30" s="330" t="n">
        <x:f>IFERROR(AVERAGEIF('Topic Checklist'!$B$5:$B$134,A30,'Topic Checklist'!$I$5:$I$134),0)</x:f>
        <x:v>0</x:v>
      </x:c>
      <x:c r="K30" s="348" t="n">
        <x:f>H30-G30</x:f>
        <x:v>-8</x:v>
      </x:c>
      <x:c r="L30" s="345" t="str"/>
    </x:row>
  </x:sheetData>
  <x:mergeCells>
    <x:mergeCell ref="A1:L2"/>
    <x:mergeCell ref="A3:L3"/>
  </x:mergeCells>
  <x:conditionalFormatting sqref="I5:I30">
    <x:cfRule type="containsText" dxfId="8" priority="1" operator="containsText" text="Completed"/>
    <x:cfRule type="containsText" dxfId="9" priority="2" operator="containsText" text="In Progress"/>
    <x:cfRule type="containsText" dxfId="10" priority="3" operator="containsText" text="Active"/>
    <x:cfRule type="containsText" dxfId="11" priority="4" operator="containsText" text="Blocked"/>
    <x:cfRule type="containsText" dxfId="12" priority="5" operator="containsText" text="Behind"/>
    <x:cfRule type="containsText" dxfId="13" priority="6" operator="containsText" text="Not Started"/>
    <x:cfRule type="containsText" dxfId="14" priority="7" operator="containsText" text="Upcoming"/>
    <x:cfRule type="containsText" dxfId="15" priority="8" operator="containsText" text="Partial"/>
  </x:conditionalFormatting>
  <x:conditionalFormatting sqref="J5:J30">
    <x:cfRule type="dataBar" priority="9">
      <x:dataBar>
        <x:cfvo type="min"/>
        <x:cfvo type="max"/>
        <x:color rgb="FF16A34A"/>
      </x:dataBar>
      <x:extLst>
        <x:ext xmlns:x14="http://schemas.microsoft.com/office/spreadsheetml/2009/9/main" uri="{B025F937-C7B1-47D3-B67F-A62EFF666E3E}">
          <x14:id>{6738B193-307C-DA01-C92F-53E6A04CB879}</x14:id>
        </x:ext>
      </x:extLst>
    </x:cfRule>
  </x:conditionalFormatting>
  <x:pageMargins left="0.7" right="0.7" top="0.75" bottom="0.75" header="0.3" footer="0.3"/>
  <x:tableParts count="1">
    <x:tablePart xmlns:r="http://schemas.openxmlformats.org/officeDocument/2006/relationships" r:id="R1ca415064a684af2"/>
  </x:tableParts>
  <x:extLst>
    <x:ext xmlns:x14="http://schemas.microsoft.com/office/spreadsheetml/2009/9/main" xmlns:xm="http://schemas.microsoft.com/office/excel/2006/main" uri="{78C0D931-6437-407d-A8EE-F0AAD7539E65}">
      <x14:conditionalFormattings>
        <x14:conditionalFormatting>
          <x14:cfRule type="dataBar" priority="9" id="{6738B193-307C-DA01-C92F-53E6A04CB879}">
            <x14:dataBar gradient="1">
              <x14:cfvo type="min"/>
              <x14:cfvo type="max"/>
              <x14:fillColor rgb="FF16A34A"/>
            </x14:dataBar>
          </x14:cfRule>
          <xm:sqref>J5:J30</xm:sqref>
        </x14:conditionalFormatting>
      </x14:conditionalFormattings>
    </x:ext>
  </x:extLst>
</x:worksheet>
</file>

<file path=xl/worksheets/sheet3.xml><?xml version="1.0" encoding="utf-8"?>
<x:worksheet xmlns:x="http://schemas.openxmlformats.org/spreadsheetml/2006/main">
  <x:sheetViews>
    <x:sheetView showGridLines="0" workbookViewId="0"/>
  </x:sheetViews>
  <x:sheetFormatPr defaultRowHeight="15"/>
  <x:cols>
    <x:col min="1" max="1" width="9" hidden="0" customWidth="1"/>
    <x:col min="2" max="2" width="7" hidden="0" customWidth="1"/>
    <x:col min="3" max="3" width="23" hidden="0" customWidth="1"/>
    <x:col min="4" max="4" width="38" hidden="0" customWidth="1"/>
    <x:col min="5" max="5" width="49" hidden="0" customWidth="1"/>
    <x:col min="6" max="6" width="12" hidden="0" customWidth="1"/>
    <x:col min="7" max="7" width="14" hidden="0" customWidth="1"/>
    <x:col min="8" max="8" width="33" hidden="0" customWidth="1"/>
    <x:col min="9" max="9" width="13" hidden="0" customWidth="1"/>
    <x:col min="10" max="10" width="13" hidden="0" customWidth="1"/>
    <x:col min="11" max="11" width="33" hidden="0" customWidth="1"/>
  </x:cols>
  <x:sheetData>
    <x:row r="1" ht="30" customHeight="1">
      <x:c r="A1" s="359" t="str">
        <x:v>Topic Checklist</x:v>
      </x:c>
      <x:c r="B1" s="359" t="str">
        <x:v>Topic Checklist</x:v>
      </x:c>
      <x:c r="C1" s="359" t="str">
        <x:v>Topic Checklist</x:v>
      </x:c>
      <x:c r="D1" s="359" t="str">
        <x:v>Topic Checklist</x:v>
      </x:c>
      <x:c r="E1" s="359" t="str">
        <x:v>Topic Checklist</x:v>
      </x:c>
      <x:c r="F1" s="359" t="str">
        <x:v>Topic Checklist</x:v>
      </x:c>
      <x:c r="G1" s="359" t="str">
        <x:v>Topic Checklist</x:v>
      </x:c>
      <x:c r="H1" s="359" t="str">
        <x:v>Topic Checklist</x:v>
      </x:c>
      <x:c r="I1" s="359" t="str">
        <x:v>Topic Checklist</x:v>
      </x:c>
      <x:c r="J1" s="359" t="str">
        <x:v>Topic Checklist</x:v>
      </x:c>
      <x:c r="K1" s="359" t="str">
        <x:v>Topic Checklist</x:v>
      </x:c>
    </x:row>
    <x:row r="2" ht="30" customHeight="1">
      <x:c r="A2" s="359" t="str">
        <x:v>Topic Checklist</x:v>
      </x:c>
      <x:c r="B2" s="359" t="str">
        <x:v>Topic Checklist</x:v>
      </x:c>
      <x:c r="C2" s="359" t="str">
        <x:v>Topic Checklist</x:v>
      </x:c>
      <x:c r="D2" s="359" t="str">
        <x:v>Topic Checklist</x:v>
      </x:c>
      <x:c r="E2" s="359" t="str">
        <x:v>Topic Checklist</x:v>
      </x:c>
      <x:c r="F2" s="359" t="str">
        <x:v>Topic Checklist</x:v>
      </x:c>
      <x:c r="G2" s="359" t="str">
        <x:v>Topic Checklist</x:v>
      </x:c>
      <x:c r="H2" s="359" t="str">
        <x:v>Topic Checklist</x:v>
      </x:c>
      <x:c r="I2" s="359" t="str">
        <x:v>Topic Checklist</x:v>
      </x:c>
      <x:c r="J2" s="359" t="str">
        <x:v>Topic Checklist</x:v>
      </x:c>
      <x:c r="K2" s="359" t="str">
        <x:v>Topic Checklist</x:v>
      </x:c>
    </x:row>
    <x:row r="3" ht="22" customHeight="1">
      <x:c r="A3" s="266" t="str">
        <x:v>Update Status and add evidence. Weekly and dashboard progress recalculate from these rows.</x:v>
      </x:c>
      <x:c r="B3" s="266" t="str">
        <x:v>Update Status and add evidence. Weekly and dashboard progress recalculate from these rows.</x:v>
      </x:c>
      <x:c r="C3" s="266" t="str">
        <x:v>Update Status and add evidence. Weekly and dashboard progress recalculate from these rows.</x:v>
      </x:c>
      <x:c r="D3" s="266" t="str">
        <x:v>Update Status and add evidence. Weekly and dashboard progress recalculate from these rows.</x:v>
      </x:c>
      <x:c r="E3" s="266" t="str">
        <x:v>Update Status and add evidence. Weekly and dashboard progress recalculate from these rows.</x:v>
      </x:c>
      <x:c r="F3" s="266" t="str">
        <x:v>Update Status and add evidence. Weekly and dashboard progress recalculate from these rows.</x:v>
      </x:c>
      <x:c r="G3" s="266" t="str">
        <x:v>Update Status and add evidence. Weekly and dashboard progress recalculate from these rows.</x:v>
      </x:c>
      <x:c r="H3" s="266" t="str">
        <x:v>Update Status and add evidence. Weekly and dashboard progress recalculate from these rows.</x:v>
      </x:c>
      <x:c r="I3" s="266" t="str">
        <x:v>Update Status and add evidence. Weekly and dashboard progress recalculate from these rows.</x:v>
      </x:c>
      <x:c r="J3" s="266" t="str">
        <x:v>Update Status and add evidence. Weekly and dashboard progress recalculate from these rows.</x:v>
      </x:c>
      <x:c r="K3" s="266" t="str">
        <x:v>Update Status and add evidence. Weekly and dashboard progress recalculate from these rows.</x:v>
      </x:c>
    </x:row>
    <x:row r="4">
      <x:c r="A4" s="360" t="str">
        <x:v>ID</x:v>
      </x:c>
      <x:c r="B4" s="361" t="str">
        <x:v>Week</x:v>
      </x:c>
      <x:c r="C4" s="361" t="str">
        <x:v>Phase</x:v>
      </x:c>
      <x:c r="D4" s="361" t="str">
        <x:v>Topic</x:v>
      </x:c>
      <x:c r="E4" s="361" t="str">
        <x:v>Practical Evidence</x:v>
      </x:c>
      <x:c r="F4" s="361" t="str">
        <x:v>Priority</x:v>
      </x:c>
      <x:c r="G4" s="361" t="str">
        <x:v>Status</x:v>
      </x:c>
      <x:c r="H4" s="361" t="str">
        <x:v>Evidence / Link</x:v>
      </x:c>
      <x:c r="I4" s="361" t="str">
        <x:v>Completion</x:v>
      </x:c>
      <x:c r="J4" s="361" t="str">
        <x:v>Due Date</x:v>
      </x:c>
      <x:c r="K4" s="362" t="str">
        <x:v>Notes</x:v>
      </x:c>
    </x:row>
    <x:row r="5" ht="38" customHeight="1">
      <x:c r="A5" s="267" t="str">
        <x:v>T001</x:v>
      </x:c>
      <x:c r="B5" s="267" t="n">
        <x:v>1</x:v>
      </x:c>
      <x:c r="C5" s="345" t="str">
        <x:v>Oracle SQL</x:v>
      </x:c>
      <x:c r="D5" s="345" t="str">
        <x:v>Relational concepts, keys and cardinality</x:v>
      </x:c>
      <x:c r="E5" s="345" t="str">
        <x:v>Model one-to-many and many-to-many relationships</x:v>
      </x:c>
      <x:c r="F5" s="345" t="str">
        <x:v>Core</x:v>
      </x:c>
      <x:c r="G5" s="345" t="str">
        <x:v>Not Started</x:v>
      </x:c>
      <x:c r="H5" s="345" t="str"/>
      <x:c r="I5" s="330" t="n">
        <x:f>IF(G5="Completed",1,IF(G5="In Progress",0.5,IF(G5="Blocked",0.25,0)))</x:f>
        <x:v>0</x:v>
      </x:c>
      <x:c r="J5" s="344" t="n">
        <x:f>'Setup'!$B$6+(B5*7)-1</x:f>
        <x:v>46229</x:v>
      </x:c>
      <x:c r="K5" s="345" t="str"/>
    </x:row>
    <x:row r="6" ht="38" customHeight="1">
      <x:c r="A6" s="267" t="str">
        <x:v>T002</x:v>
      </x:c>
      <x:c r="B6" s="267" t="n">
        <x:v>1</x:v>
      </x:c>
      <x:c r="C6" s="345" t="str">
        <x:v>Oracle SQL</x:v>
      </x:c>
      <x:c r="D6" s="345" t="str">
        <x:v>Normalization through 3NF</x:v>
      </x:c>
      <x:c r="E6" s="345" t="str">
        <x:v>Normalize a raw inventory spreadsheet into related tables</x:v>
      </x:c>
      <x:c r="F6" s="345" t="str">
        <x:v>Core</x:v>
      </x:c>
      <x:c r="G6" s="345" t="str">
        <x:v>Not Started</x:v>
      </x:c>
      <x:c r="H6" s="345" t="str"/>
      <x:c r="I6" s="330" t="n">
        <x:f>IF(G6="Completed",1,IF(G6="In Progress",0.5,IF(G6="Blocked",0.25,0)))</x:f>
        <x:v>0</x:v>
      </x:c>
      <x:c r="J6" s="344" t="n">
        <x:f>'Setup'!$B$6+(B6*7)-1</x:f>
        <x:v>46229</x:v>
      </x:c>
      <x:c r="K6" s="345" t="str"/>
    </x:row>
    <x:row r="7" ht="38" customHeight="1">
      <x:c r="A7" s="267" t="str">
        <x:v>T003</x:v>
      </x:c>
      <x:c r="B7" s="267" t="n">
        <x:v>1</x:v>
      </x:c>
      <x:c r="C7" s="345" t="str">
        <x:v>Oracle SQL</x:v>
      </x:c>
      <x:c r="D7" s="345" t="str">
        <x:v>Oracle schema objects</x:v>
      </x:c>
      <x:c r="E7" s="345" t="str">
        <x:v>Identify tables, views, indexes, sequences and packages</x:v>
      </x:c>
      <x:c r="F7" s="345" t="str">
        <x:v>Core</x:v>
      </x:c>
      <x:c r="G7" s="345" t="str">
        <x:v>Not Started</x:v>
      </x:c>
      <x:c r="H7" s="345" t="str"/>
      <x:c r="I7" s="330" t="n">
        <x:f>IF(G7="Completed",1,IF(G7="In Progress",0.5,IF(G7="Blocked",0.25,0)))</x:f>
        <x:v>0</x:v>
      </x:c>
      <x:c r="J7" s="344" t="n">
        <x:f>'Setup'!$B$6+(B7*7)-1</x:f>
        <x:v>46229</x:v>
      </x:c>
      <x:c r="K7" s="345" t="str"/>
    </x:row>
    <x:row r="8" ht="38" customHeight="1">
      <x:c r="A8" s="267" t="str">
        <x:v>T004</x:v>
      </x:c>
      <x:c r="B8" s="267" t="n">
        <x:v>1</x:v>
      </x:c>
      <x:c r="C8" s="345" t="str">
        <x:v>Oracle SQL</x:v>
      </x:c>
      <x:c r="D8" s="345" t="str">
        <x:v>Oracle data types and NULL</x:v>
      </x:c>
      <x:c r="E8" s="345" t="str">
        <x:v>Choose correct types for inventory and orders</x:v>
      </x:c>
      <x:c r="F8" s="345" t="str">
        <x:v>Core</x:v>
      </x:c>
      <x:c r="G8" s="345" t="str">
        <x:v>Not Started</x:v>
      </x:c>
      <x:c r="H8" s="345" t="str"/>
      <x:c r="I8" s="330" t="n">
        <x:f>IF(G8="Completed",1,IF(G8="In Progress",0.5,IF(G8="Blocked",0.25,0)))</x:f>
        <x:v>0</x:v>
      </x:c>
      <x:c r="J8" s="344" t="n">
        <x:f>'Setup'!$B$6+(B8*7)-1</x:f>
        <x:v>46229</x:v>
      </x:c>
      <x:c r="K8" s="345" t="str"/>
    </x:row>
    <x:row r="9" ht="38" customHeight="1">
      <x:c r="A9" s="267" t="str">
        <x:v>T005</x:v>
      </x:c>
      <x:c r="B9" s="267" t="n">
        <x:v>1</x:v>
      </x:c>
      <x:c r="C9" s="345" t="str">
        <x:v>Oracle SQL</x:v>
      </x:c>
      <x:c r="D9" s="345" t="str">
        <x:v>ERD design</x:v>
      </x:c>
      <x:c r="E9" s="345" t="str">
        <x:v>Draw the first inventory and order ERD</x:v>
      </x:c>
      <x:c r="F9" s="345" t="str">
        <x:v>Core</x:v>
      </x:c>
      <x:c r="G9" s="345" t="str">
        <x:v>Not Started</x:v>
      </x:c>
      <x:c r="H9" s="345" t="str"/>
      <x:c r="I9" s="330" t="n">
        <x:f>IF(G9="Completed",1,IF(G9="In Progress",0.5,IF(G9="Blocked",0.25,0)))</x:f>
        <x:v>0</x:v>
      </x:c>
      <x:c r="J9" s="344" t="n">
        <x:f>'Setup'!$B$6+(B9*7)-1</x:f>
        <x:v>46229</x:v>
      </x:c>
      <x:c r="K9" s="345" t="str"/>
    </x:row>
    <x:row r="10" ht="38" customHeight="1">
      <x:c r="A10" s="267" t="str">
        <x:v>T006</x:v>
      </x:c>
      <x:c r="B10" s="267" t="n">
        <x:v>2</x:v>
      </x:c>
      <x:c r="C10" s="345" t="str">
        <x:v>Oracle SQL</x:v>
      </x:c>
      <x:c r="D10" s="345" t="str">
        <x:v>SELECT, aliases and expressions</x:v>
      </x:c>
      <x:c r="E10" s="345" t="str">
        <x:v>Write readable projection queries with aliases</x:v>
      </x:c>
      <x:c r="F10" s="345" t="str">
        <x:v>Core</x:v>
      </x:c>
      <x:c r="G10" s="345" t="str">
        <x:v>Not Started</x:v>
      </x:c>
      <x:c r="H10" s="345" t="str"/>
      <x:c r="I10" s="330" t="n">
        <x:f>IF(G10="Completed",1,IF(G10="In Progress",0.5,IF(G10="Blocked",0.25,0)))</x:f>
        <x:v>0</x:v>
      </x:c>
      <x:c r="J10" s="344" t="n">
        <x:f>'Setup'!$B$6+(B10*7)-1</x:f>
        <x:v>46236</x:v>
      </x:c>
      <x:c r="K10" s="345" t="str"/>
    </x:row>
    <x:row r="11" ht="38" customHeight="1">
      <x:c r="A11" s="267" t="str">
        <x:v>T007</x:v>
      </x:c>
      <x:c r="B11" s="267" t="n">
        <x:v>2</x:v>
      </x:c>
      <x:c r="C11" s="345" t="str">
        <x:v>Oracle SQL</x:v>
      </x:c>
      <x:c r="D11" s="345" t="str">
        <x:v>WHERE predicates and NULL logic</x:v>
      </x:c>
      <x:c r="E11" s="345" t="str">
        <x:v>Test comparison, range, list and null predicates</x:v>
      </x:c>
      <x:c r="F11" s="345" t="str">
        <x:v>Core</x:v>
      </x:c>
      <x:c r="G11" s="345" t="str">
        <x:v>Not Started</x:v>
      </x:c>
      <x:c r="H11" s="345" t="str"/>
      <x:c r="I11" s="330" t="n">
        <x:f>IF(G11="Completed",1,IF(G11="In Progress",0.5,IF(G11="Blocked",0.25,0)))</x:f>
        <x:v>0</x:v>
      </x:c>
      <x:c r="J11" s="344" t="n">
        <x:f>'Setup'!$B$6+(B11*7)-1</x:f>
        <x:v>46236</x:v>
      </x:c>
      <x:c r="K11" s="345" t="str"/>
    </x:row>
    <x:row r="12" ht="38" customHeight="1">
      <x:c r="A12" s="267" t="str">
        <x:v>T008</x:v>
      </x:c>
      <x:c r="B12" s="267" t="n">
        <x:v>2</x:v>
      </x:c>
      <x:c r="C12" s="345" t="str">
        <x:v>Oracle SQL</x:v>
      </x:c>
      <x:c r="D12" s="345" t="str">
        <x:v>String, number and date functions</x:v>
      </x:c>
      <x:c r="E12" s="345" t="str">
        <x:v>Create formatted customer and order outputs</x:v>
      </x:c>
      <x:c r="F12" s="345" t="str">
        <x:v>Core</x:v>
      </x:c>
      <x:c r="G12" s="345" t="str">
        <x:v>Not Started</x:v>
      </x:c>
      <x:c r="H12" s="345" t="str"/>
      <x:c r="I12" s="330" t="n">
        <x:f>IF(G12="Completed",1,IF(G12="In Progress",0.5,IF(G12="Blocked",0.25,0)))</x:f>
        <x:v>0</x:v>
      </x:c>
      <x:c r="J12" s="344" t="n">
        <x:f>'Setup'!$B$6+(B12*7)-1</x:f>
        <x:v>46236</x:v>
      </x:c>
      <x:c r="K12" s="345" t="str"/>
    </x:row>
    <x:row r="13" ht="38" customHeight="1">
      <x:c r="A13" s="267" t="str">
        <x:v>T009</x:v>
      </x:c>
      <x:c r="B13" s="267" t="n">
        <x:v>2</x:v>
      </x:c>
      <x:c r="C13" s="345" t="str">
        <x:v>Oracle SQL</x:v>
      </x:c>
      <x:c r="D13" s="345" t="str">
        <x:v>CASE, NVL, COALESCE and NULLIF</x:v>
      </x:c>
      <x:c r="E13" s="345" t="str">
        <x:v>Convert raw values into business-friendly labels</x:v>
      </x:c>
      <x:c r="F13" s="345" t="str">
        <x:v>Core</x:v>
      </x:c>
      <x:c r="G13" s="345" t="str">
        <x:v>Not Started</x:v>
      </x:c>
      <x:c r="H13" s="345" t="str"/>
      <x:c r="I13" s="330" t="n">
        <x:f>IF(G13="Completed",1,IF(G13="In Progress",0.5,IF(G13="Blocked",0.25,0)))</x:f>
        <x:v>0</x:v>
      </x:c>
      <x:c r="J13" s="344" t="n">
        <x:f>'Setup'!$B$6+(B13*7)-1</x:f>
        <x:v>46236</x:v>
      </x:c>
      <x:c r="K13" s="345" t="str"/>
    </x:row>
    <x:row r="14" ht="38" customHeight="1">
      <x:c r="A14" s="267" t="str">
        <x:v>T010</x:v>
      </x:c>
      <x:c r="B14" s="267" t="n">
        <x:v>2</x:v>
      </x:c>
      <x:c r="C14" s="345" t="str">
        <x:v>Oracle SQL</x:v>
      </x:c>
      <x:c r="D14" s="345" t="str">
        <x:v>Ordering and row limiting</x:v>
      </x:c>
      <x:c r="E14" s="345" t="str">
        <x:v>Produce deterministic top-N reports</x:v>
      </x:c>
      <x:c r="F14" s="345" t="str">
        <x:v>Important</x:v>
      </x:c>
      <x:c r="G14" s="345" t="str">
        <x:v>Not Started</x:v>
      </x:c>
      <x:c r="H14" s="345" t="str"/>
      <x:c r="I14" s="330" t="n">
        <x:f>IF(G14="Completed",1,IF(G14="In Progress",0.5,IF(G14="Blocked",0.25,0)))</x:f>
        <x:v>0</x:v>
      </x:c>
      <x:c r="J14" s="344" t="n">
        <x:f>'Setup'!$B$6+(B14*7)-1</x:f>
        <x:v>46236</x:v>
      </x:c>
      <x:c r="K14" s="345" t="str"/>
    </x:row>
    <x:row r="15" ht="38" customHeight="1">
      <x:c r="A15" s="267" t="str">
        <x:v>T011</x:v>
      </x:c>
      <x:c r="B15" s="267" t="n">
        <x:v>3</x:v>
      </x:c>
      <x:c r="C15" s="345" t="str">
        <x:v>Oracle SQL</x:v>
      </x:c>
      <x:c r="D15" s="345" t="str">
        <x:v>Inner, outer and self joins</x:v>
      </x:c>
      <x:c r="E15" s="345" t="str">
        <x:v>Join products, suppliers, orders and employees</x:v>
      </x:c>
      <x:c r="F15" s="345" t="str">
        <x:v>Core</x:v>
      </x:c>
      <x:c r="G15" s="345" t="str">
        <x:v>Not Started</x:v>
      </x:c>
      <x:c r="H15" s="345" t="str"/>
      <x:c r="I15" s="330" t="n">
        <x:f>IF(G15="Completed",1,IF(G15="In Progress",0.5,IF(G15="Blocked",0.25,0)))</x:f>
        <x:v>0</x:v>
      </x:c>
      <x:c r="J15" s="344" t="n">
        <x:f>'Setup'!$B$6+(B15*7)-1</x:f>
        <x:v>46243</x:v>
      </x:c>
      <x:c r="K15" s="345" t="str"/>
    </x:row>
    <x:row r="16" ht="38" customHeight="1">
      <x:c r="A16" s="267" t="str">
        <x:v>T012</x:v>
      </x:c>
      <x:c r="B16" s="267" t="n">
        <x:v>3</x:v>
      </x:c>
      <x:c r="C16" s="345" t="str">
        <x:v>Oracle SQL</x:v>
      </x:c>
      <x:c r="D16" s="345" t="str">
        <x:v>Aggregates, GROUP BY and HAVING</x:v>
      </x:c>
      <x:c r="E16" s="345" t="str">
        <x:v>Calculate revenue and stock totals</x:v>
      </x:c>
      <x:c r="F16" s="345" t="str">
        <x:v>Core</x:v>
      </x:c>
      <x:c r="G16" s="345" t="str">
        <x:v>Not Started</x:v>
      </x:c>
      <x:c r="H16" s="345" t="str"/>
      <x:c r="I16" s="330" t="n">
        <x:f>IF(G16="Completed",1,IF(G16="In Progress",0.5,IF(G16="Blocked",0.25,0)))</x:f>
        <x:v>0</x:v>
      </x:c>
      <x:c r="J16" s="344" t="n">
        <x:f>'Setup'!$B$6+(B16*7)-1</x:f>
        <x:v>46243</x:v>
      </x:c>
      <x:c r="K16" s="345" t="str"/>
    </x:row>
    <x:row r="17" ht="38" customHeight="1">
      <x:c r="A17" s="267" t="str">
        <x:v>T013</x:v>
      </x:c>
      <x:c r="B17" s="267" t="n">
        <x:v>3</x:v>
      </x:c>
      <x:c r="C17" s="345" t="str">
        <x:v>Oracle SQL</x:v>
      </x:c>
      <x:c r="D17" s="345" t="str">
        <x:v>Subqueries and correlated subqueries</x:v>
      </x:c>
      <x:c r="E17" s="345" t="str">
        <x:v>Find customers above their regional average</x:v>
      </x:c>
      <x:c r="F17" s="345" t="str">
        <x:v>Core</x:v>
      </x:c>
      <x:c r="G17" s="345" t="str">
        <x:v>Not Started</x:v>
      </x:c>
      <x:c r="H17" s="345" t="str"/>
      <x:c r="I17" s="330" t="n">
        <x:f>IF(G17="Completed",1,IF(G17="In Progress",0.5,IF(G17="Blocked",0.25,0)))</x:f>
        <x:v>0</x:v>
      </x:c>
      <x:c r="J17" s="344" t="n">
        <x:f>'Setup'!$B$6+(B17*7)-1</x:f>
        <x:v>46243</x:v>
      </x:c>
      <x:c r="K17" s="345" t="str"/>
    </x:row>
    <x:row r="18" ht="38" customHeight="1">
      <x:c r="A18" s="267" t="str">
        <x:v>T014</x:v>
      </x:c>
      <x:c r="B18" s="267" t="n">
        <x:v>3</x:v>
      </x:c>
      <x:c r="C18" s="345" t="str">
        <x:v>Oracle SQL</x:v>
      </x:c>
      <x:c r="D18" s="345" t="str">
        <x:v>EXISTS and NOT EXISTS</x:v>
      </x:c>
      <x:c r="E18" s="345" t="str">
        <x:v>Find products with no stock movement</x:v>
      </x:c>
      <x:c r="F18" s="345" t="str">
        <x:v>Core</x:v>
      </x:c>
      <x:c r="G18" s="345" t="str">
        <x:v>Not Started</x:v>
      </x:c>
      <x:c r="H18" s="345" t="str"/>
      <x:c r="I18" s="330" t="n">
        <x:f>IF(G18="Completed",1,IF(G18="In Progress",0.5,IF(G18="Blocked",0.25,0)))</x:f>
        <x:v>0</x:v>
      </x:c>
      <x:c r="J18" s="344" t="n">
        <x:f>'Setup'!$B$6+(B18*7)-1</x:f>
        <x:v>46243</x:v>
      </x:c>
      <x:c r="K18" s="345" t="str"/>
    </x:row>
    <x:row r="19" ht="38" customHeight="1">
      <x:c r="A19" s="267" t="str">
        <x:v>T015</x:v>
      </x:c>
      <x:c r="B19" s="267" t="n">
        <x:v>3</x:v>
      </x:c>
      <x:c r="C19" s="345" t="str">
        <x:v>Oracle SQL</x:v>
      </x:c>
      <x:c r="D19" s="345" t="str">
        <x:v>Set operators</x:v>
      </x:c>
      <x:c r="E19" s="345" t="str">
        <x:v>Compare active and inactive customer sets</x:v>
      </x:c>
      <x:c r="F19" s="345" t="str">
        <x:v>Important</x:v>
      </x:c>
      <x:c r="G19" s="345" t="str">
        <x:v>Not Started</x:v>
      </x:c>
      <x:c r="H19" s="345" t="str"/>
      <x:c r="I19" s="330" t="n">
        <x:f>IF(G19="Completed",1,IF(G19="In Progress",0.5,IF(G19="Blocked",0.25,0)))</x:f>
        <x:v>0</x:v>
      </x:c>
      <x:c r="J19" s="344" t="n">
        <x:f>'Setup'!$B$6+(B19*7)-1</x:f>
        <x:v>46243</x:v>
      </x:c>
      <x:c r="K19" s="345" t="str"/>
    </x:row>
    <x:row r="20" ht="38" customHeight="1">
      <x:c r="A20" s="267" t="str">
        <x:v>T016</x:v>
      </x:c>
      <x:c r="B20" s="267" t="n">
        <x:v>4</x:v>
      </x:c>
      <x:c r="C20" s="345" t="str">
        <x:v>Oracle SQL</x:v>
      </x:c>
      <x:c r="D20" s="345" t="str">
        <x:v>Tables and integrity constraints</x:v>
      </x:c>
      <x:c r="E20" s="345" t="str">
        <x:v>Create tables with PK, FK, UNIQUE, CHECK and NOT NULL</x:v>
      </x:c>
      <x:c r="F20" s="345" t="str">
        <x:v>Core</x:v>
      </x:c>
      <x:c r="G20" s="345" t="str">
        <x:v>Not Started</x:v>
      </x:c>
      <x:c r="H20" s="345" t="str"/>
      <x:c r="I20" s="330" t="n">
        <x:f>IF(G20="Completed",1,IF(G20="In Progress",0.5,IF(G20="Blocked",0.25,0)))</x:f>
        <x:v>0</x:v>
      </x:c>
      <x:c r="J20" s="344" t="n">
        <x:f>'Setup'!$B$6+(B20*7)-1</x:f>
        <x:v>46250</x:v>
      </x:c>
      <x:c r="K20" s="345" t="str"/>
    </x:row>
    <x:row r="21" ht="38" customHeight="1">
      <x:c r="A21" s="267" t="str">
        <x:v>T017</x:v>
      </x:c>
      <x:c r="B21" s="267" t="n">
        <x:v>4</x:v>
      </x:c>
      <x:c r="C21" s="345" t="str">
        <x:v>Oracle SQL</x:v>
      </x:c>
      <x:c r="D21" s="345" t="str">
        <x:v>INSERT, UPDATE and DELETE</x:v>
      </x:c>
      <x:c r="E21" s="345" t="str">
        <x:v>Load and safely modify seed data</x:v>
      </x:c>
      <x:c r="F21" s="345" t="str">
        <x:v>Core</x:v>
      </x:c>
      <x:c r="G21" s="345" t="str">
        <x:v>Not Started</x:v>
      </x:c>
      <x:c r="H21" s="345" t="str"/>
      <x:c r="I21" s="330" t="n">
        <x:f>IF(G21="Completed",1,IF(G21="In Progress",0.5,IF(G21="Blocked",0.25,0)))</x:f>
        <x:v>0</x:v>
      </x:c>
      <x:c r="J21" s="344" t="n">
        <x:f>'Setup'!$B$6+(B21*7)-1</x:f>
        <x:v>46250</x:v>
      </x:c>
      <x:c r="K21" s="345" t="str"/>
    </x:row>
    <x:row r="22" ht="38" customHeight="1">
      <x:c r="A22" s="267" t="str">
        <x:v>T018</x:v>
      </x:c>
      <x:c r="B22" s="267" t="n">
        <x:v>4</x:v>
      </x:c>
      <x:c r="C22" s="345" t="str">
        <x:v>Oracle SQL</x:v>
      </x:c>
      <x:c r="D22" s="345" t="str">
        <x:v>MERGE and RETURNING INTO</x:v>
      </x:c>
      <x:c r="E22" s="345" t="str">
        <x:v>Implement an upsert and capture generated identifiers</x:v>
      </x:c>
      <x:c r="F22" s="345" t="str">
        <x:v>Important</x:v>
      </x:c>
      <x:c r="G22" s="345" t="str">
        <x:v>Not Started</x:v>
      </x:c>
      <x:c r="H22" s="345" t="str"/>
      <x:c r="I22" s="330" t="n">
        <x:f>IF(G22="Completed",1,IF(G22="In Progress",0.5,IF(G22="Blocked",0.25,0)))</x:f>
        <x:v>0</x:v>
      </x:c>
      <x:c r="J22" s="344" t="n">
        <x:f>'Setup'!$B$6+(B22*7)-1</x:f>
        <x:v>46250</x:v>
      </x:c>
      <x:c r="K22" s="345" t="str"/>
    </x:row>
    <x:row r="23" ht="38" customHeight="1">
      <x:c r="A23" s="267" t="str">
        <x:v>T019</x:v>
      </x:c>
      <x:c r="B23" s="267" t="n">
        <x:v>4</x:v>
      </x:c>
      <x:c r="C23" s="345" t="str">
        <x:v>Oracle SQL</x:v>
      </x:c>
      <x:c r="D23" s="345" t="str">
        <x:v>COMMIT, ROLLBACK and SAVEPOINT</x:v>
      </x:c>
      <x:c r="E23" s="345" t="str">
        <x:v>Prove transaction rollback behavior</x:v>
      </x:c>
      <x:c r="F23" s="345" t="str">
        <x:v>Core</x:v>
      </x:c>
      <x:c r="G23" s="345" t="str">
        <x:v>Not Started</x:v>
      </x:c>
      <x:c r="H23" s="345" t="str"/>
      <x:c r="I23" s="330" t="n">
        <x:f>IF(G23="Completed",1,IF(G23="In Progress",0.5,IF(G23="Blocked",0.25,0)))</x:f>
        <x:v>0</x:v>
      </x:c>
      <x:c r="J23" s="344" t="n">
        <x:f>'Setup'!$B$6+(B23*7)-1</x:f>
        <x:v>46250</x:v>
      </x:c>
      <x:c r="K23" s="345" t="str"/>
    </x:row>
    <x:row r="24" ht="38" customHeight="1">
      <x:c r="A24" s="267" t="str">
        <x:v>T020</x:v>
      </x:c>
      <x:c r="B24" s="267" t="n">
        <x:v>4</x:v>
      </x:c>
      <x:c r="C24" s="345" t="str">
        <x:v>Oracle SQL</x:v>
      </x:c>
      <x:c r="D24" s="345" t="str">
        <x:v>Views, sequences, identity, indexes, CTEs and analytics</x:v>
      </x:c>
      <x:c r="E24" s="345" t="str">
        <x:v>Complete the 40-query SQL checkpoint</x:v>
      </x:c>
      <x:c r="F24" s="345" t="str">
        <x:v>Core</x:v>
      </x:c>
      <x:c r="G24" s="345" t="str">
        <x:v>Not Started</x:v>
      </x:c>
      <x:c r="H24" s="345" t="str"/>
      <x:c r="I24" s="330" t="n">
        <x:f>IF(G24="Completed",1,IF(G24="In Progress",0.5,IF(G24="Blocked",0.25,0)))</x:f>
        <x:v>0</x:v>
      </x:c>
      <x:c r="J24" s="344" t="n">
        <x:f>'Setup'!$B$6+(B24*7)-1</x:f>
        <x:v>46250</x:v>
      </x:c>
      <x:c r="K24" s="345" t="str"/>
    </x:row>
    <x:row r="25" ht="38" customHeight="1">
      <x:c r="A25" s="267" t="str">
        <x:v>T021</x:v>
      </x:c>
      <x:c r="B25" s="267" t="n">
        <x:v>5</x:v>
      </x:c>
      <x:c r="C25" s="345" t="str">
        <x:v>PL/SQL Fundamentals</x:v>
      </x:c>
      <x:c r="D25" s="345" t="str">
        <x:v>Anonymous block structure</x:v>
      </x:c>
      <x:c r="E25" s="345" t="str">
        <x:v>Write DECLARE, BEGIN, EXCEPTION and END sections</x:v>
      </x:c>
      <x:c r="F25" s="345" t="str">
        <x:v>Core</x:v>
      </x:c>
      <x:c r="G25" s="345" t="str">
        <x:v>Not Started</x:v>
      </x:c>
      <x:c r="H25" s="345" t="str"/>
      <x:c r="I25" s="330" t="n">
        <x:f>IF(G25="Completed",1,IF(G25="In Progress",0.5,IF(G25="Blocked",0.25,0)))</x:f>
        <x:v>0</x:v>
      </x:c>
      <x:c r="J25" s="344" t="n">
        <x:f>'Setup'!$B$6+(B25*7)-1</x:f>
        <x:v>46257</x:v>
      </x:c>
      <x:c r="K25" s="345" t="str"/>
    </x:row>
    <x:row r="26" ht="38" customHeight="1">
      <x:c r="A26" s="267" t="str">
        <x:v>T022</x:v>
      </x:c>
      <x:c r="B26" s="267" t="n">
        <x:v>5</x:v>
      </x:c>
      <x:c r="C26" s="345" t="str">
        <x:v>PL/SQL Fundamentals</x:v>
      </x:c>
      <x:c r="D26" s="345" t="str">
        <x:v>Variables and constants</x:v>
      </x:c>
      <x:c r="E26" s="345" t="str">
        <x:v>Declare values using appropriate PL/SQL types</x:v>
      </x:c>
      <x:c r="F26" s="345" t="str">
        <x:v>Core</x:v>
      </x:c>
      <x:c r="G26" s="345" t="str">
        <x:v>Not Started</x:v>
      </x:c>
      <x:c r="H26" s="345" t="str"/>
      <x:c r="I26" s="330" t="n">
        <x:f>IF(G26="Completed",1,IF(G26="In Progress",0.5,IF(G26="Blocked",0.25,0)))</x:f>
        <x:v>0</x:v>
      </x:c>
      <x:c r="J26" s="344" t="n">
        <x:f>'Setup'!$B$6+(B26*7)-1</x:f>
        <x:v>46257</x:v>
      </x:c>
      <x:c r="K26" s="345" t="str"/>
    </x:row>
    <x:row r="27" ht="38" customHeight="1">
      <x:c r="A27" s="267" t="str">
        <x:v>T023</x:v>
      </x:c>
      <x:c r="B27" s="267" t="n">
        <x:v>5</x:v>
      </x:c>
      <x:c r="C27" s="345" t="str">
        <x:v>PL/SQL Fundamentals</x:v>
      </x:c>
      <x:c r="D27" s="345" t="str">
        <x:v>%TYPE and %ROWTYPE</x:v>
      </x:c>
      <x:c r="E27" s="345" t="str">
        <x:v>Anchor variables and records to schema definitions</x:v>
      </x:c>
      <x:c r="F27" s="345" t="str">
        <x:v>Core</x:v>
      </x:c>
      <x:c r="G27" s="345" t="str">
        <x:v>Not Started</x:v>
      </x:c>
      <x:c r="H27" s="345" t="str"/>
      <x:c r="I27" s="330" t="n">
        <x:f>IF(G27="Completed",1,IF(G27="In Progress",0.5,IF(G27="Blocked",0.25,0)))</x:f>
        <x:v>0</x:v>
      </x:c>
      <x:c r="J27" s="344" t="n">
        <x:f>'Setup'!$B$6+(B27*7)-1</x:f>
        <x:v>46257</x:v>
      </x:c>
      <x:c r="K27" s="345" t="str"/>
    </x:row>
    <x:row r="28" ht="38" customHeight="1">
      <x:c r="A28" s="267" t="str">
        <x:v>T024</x:v>
      </x:c>
      <x:c r="B28" s="267" t="n">
        <x:v>5</x:v>
      </x:c>
      <x:c r="C28" s="345" t="str">
        <x:v>PL/SQL Fundamentals</x:v>
      </x:c>
      <x:c r="D28" s="345" t="str">
        <x:v>Scope and nested blocks</x:v>
      </x:c>
      <x:c r="E28" s="345" t="str">
        <x:v>Demonstrate shadowing and identifier qualification</x:v>
      </x:c>
      <x:c r="F28" s="345" t="str">
        <x:v>Important</x:v>
      </x:c>
      <x:c r="G28" s="345" t="str">
        <x:v>Not Started</x:v>
      </x:c>
      <x:c r="H28" s="345" t="str"/>
      <x:c r="I28" s="330" t="n">
        <x:f>IF(G28="Completed",1,IF(G28="In Progress",0.5,IF(G28="Blocked",0.25,0)))</x:f>
        <x:v>0</x:v>
      </x:c>
      <x:c r="J28" s="344" t="n">
        <x:f>'Setup'!$B$6+(B28*7)-1</x:f>
        <x:v>46257</x:v>
      </x:c>
      <x:c r="K28" s="345" t="str"/>
    </x:row>
    <x:row r="29" ht="38" customHeight="1">
      <x:c r="A29" s="267" t="str">
        <x:v>T025</x:v>
      </x:c>
      <x:c r="B29" s="267" t="n">
        <x:v>5</x:v>
      </x:c>
      <x:c r="C29" s="345" t="str">
        <x:v>PL/SQL Fundamentals</x:v>
      </x:c>
      <x:c r="D29" s="345" t="str">
        <x:v>DBMS_OUTPUT for learning</x:v>
      </x:c>
      <x:c r="E29" s="345" t="str">
        <x:v>Print calculated order totals while debugging</x:v>
      </x:c>
      <x:c r="F29" s="345" t="str">
        <x:v>Important</x:v>
      </x:c>
      <x:c r="G29" s="345" t="str">
        <x:v>Not Started</x:v>
      </x:c>
      <x:c r="H29" s="345" t="str"/>
      <x:c r="I29" s="330" t="n">
        <x:f>IF(G29="Completed",1,IF(G29="In Progress",0.5,IF(G29="Blocked",0.25,0)))</x:f>
        <x:v>0</x:v>
      </x:c>
      <x:c r="J29" s="344" t="n">
        <x:f>'Setup'!$B$6+(B29*7)-1</x:f>
        <x:v>46257</x:v>
      </x:c>
      <x:c r="K29" s="345" t="str"/>
    </x:row>
    <x:row r="30" ht="38" customHeight="1">
      <x:c r="A30" s="267" t="str">
        <x:v>T026</x:v>
      </x:c>
      <x:c r="B30" s="267" t="n">
        <x:v>6</x:v>
      </x:c>
      <x:c r="C30" s="345" t="str">
        <x:v>PL/SQL Fundamentals</x:v>
      </x:c>
      <x:c r="D30" s="345" t="str">
        <x:v>IF, ELSIF and searched CASE</x:v>
      </x:c>
      <x:c r="E30" s="345" t="str">
        <x:v>Implement order discount rules</x:v>
      </x:c>
      <x:c r="F30" s="345" t="str">
        <x:v>Core</x:v>
      </x:c>
      <x:c r="G30" s="345" t="str">
        <x:v>Not Started</x:v>
      </x:c>
      <x:c r="H30" s="345" t="str"/>
      <x:c r="I30" s="330" t="n">
        <x:f>IF(G30="Completed",1,IF(G30="In Progress",0.5,IF(G30="Blocked",0.25,0)))</x:f>
        <x:v>0</x:v>
      </x:c>
      <x:c r="J30" s="344" t="n">
        <x:f>'Setup'!$B$6+(B30*7)-1</x:f>
        <x:v>46264</x:v>
      </x:c>
      <x:c r="K30" s="345" t="str"/>
    </x:row>
    <x:row r="31" ht="38" customHeight="1">
      <x:c r="A31" s="267" t="str">
        <x:v>T027</x:v>
      </x:c>
      <x:c r="B31" s="267" t="n">
        <x:v>6</x:v>
      </x:c>
      <x:c r="C31" s="345" t="str">
        <x:v>PL/SQL Fundamentals</x:v>
      </x:c>
      <x:c r="D31" s="345" t="str">
        <x:v>LOOP, WHILE and numeric FOR</x:v>
      </x:c>
      <x:c r="E31" s="345" t="str">
        <x:v>Process controlled sample iterations</x:v>
      </x:c>
      <x:c r="F31" s="345" t="str">
        <x:v>Core</x:v>
      </x:c>
      <x:c r="G31" s="345" t="str">
        <x:v>Not Started</x:v>
      </x:c>
      <x:c r="H31" s="345" t="str"/>
      <x:c r="I31" s="330" t="n">
        <x:f>IF(G31="Completed",1,IF(G31="In Progress",0.5,IF(G31="Blocked",0.25,0)))</x:f>
        <x:v>0</x:v>
      </x:c>
      <x:c r="J31" s="344" t="n">
        <x:f>'Setup'!$B$6+(B31*7)-1</x:f>
        <x:v>46264</x:v>
      </x:c>
      <x:c r="K31" s="345" t="str"/>
    </x:row>
    <x:row r="32" ht="38" customHeight="1">
      <x:c r="A32" s="267" t="str">
        <x:v>T028</x:v>
      </x:c>
      <x:c r="B32" s="267" t="n">
        <x:v>6</x:v>
      </x:c>
      <x:c r="C32" s="345" t="str">
        <x:v>PL/SQL Fundamentals</x:v>
      </x:c>
      <x:c r="D32" s="345" t="str">
        <x:v>EXIT and CONTINUE</x:v>
      </x:c>
      <x:c r="E32" s="345" t="str">
        <x:v>Stop and skip iterations safely</x:v>
      </x:c>
      <x:c r="F32" s="345" t="str">
        <x:v>Important</x:v>
      </x:c>
      <x:c r="G32" s="345" t="str">
        <x:v>Not Started</x:v>
      </x:c>
      <x:c r="H32" s="345" t="str"/>
      <x:c r="I32" s="330" t="n">
        <x:f>IF(G32="Completed",1,IF(G32="In Progress",0.5,IF(G32="Blocked",0.25,0)))</x:f>
        <x:v>0</x:v>
      </x:c>
      <x:c r="J32" s="344" t="n">
        <x:f>'Setup'!$B$6+(B32*7)-1</x:f>
        <x:v>46264</x:v>
      </x:c>
      <x:c r="K32" s="345" t="str"/>
    </x:row>
    <x:row r="33" ht="38" customHeight="1">
      <x:c r="A33" s="267" t="str">
        <x:v>T029</x:v>
      </x:c>
      <x:c r="B33" s="267" t="n">
        <x:v>6</x:v>
      </x:c>
      <x:c r="C33" s="345" t="str">
        <x:v>PL/SQL Fundamentals</x:v>
      </x:c>
      <x:c r="D33" s="345" t="str">
        <x:v>Expressions and short-circuit evaluation</x:v>
      </x:c>
      <x:c r="E33" s="345" t="str">
        <x:v>Protect calculations from invalid inputs</x:v>
      </x:c>
      <x:c r="F33" s="345" t="str">
        <x:v>Important</x:v>
      </x:c>
      <x:c r="G33" s="345" t="str">
        <x:v>Not Started</x:v>
      </x:c>
      <x:c r="H33" s="345" t="str"/>
      <x:c r="I33" s="330" t="n">
        <x:f>IF(G33="Completed",1,IF(G33="In Progress",0.5,IF(G33="Blocked",0.25,0)))</x:f>
        <x:v>0</x:v>
      </x:c>
      <x:c r="J33" s="344" t="n">
        <x:f>'Setup'!$B$6+(B33*7)-1</x:f>
        <x:v>46264</x:v>
      </x:c>
      <x:c r="K33" s="345" t="str"/>
    </x:row>
    <x:row r="34" ht="38" customHeight="1">
      <x:c r="A34" s="267" t="str">
        <x:v>T030</x:v>
      </x:c>
      <x:c r="B34" s="267" t="n">
        <x:v>6</x:v>
      </x:c>
      <x:c r="C34" s="345" t="str">
        <x:v>PL/SQL Fundamentals</x:v>
      </x:c>
      <x:c r="D34" s="345" t="str">
        <x:v>Local subprograms</x:v>
      </x:c>
      <x:c r="E34" s="345" t="str">
        <x:v>Extract repeated validation logic into a local routine</x:v>
      </x:c>
      <x:c r="F34" s="345" t="str">
        <x:v>Core</x:v>
      </x:c>
      <x:c r="G34" s="345" t="str">
        <x:v>Not Started</x:v>
      </x:c>
      <x:c r="H34" s="345" t="str"/>
      <x:c r="I34" s="330" t="n">
        <x:f>IF(G34="Completed",1,IF(G34="In Progress",0.5,IF(G34="Blocked",0.25,0)))</x:f>
        <x:v>0</x:v>
      </x:c>
      <x:c r="J34" s="344" t="n">
        <x:f>'Setup'!$B$6+(B34*7)-1</x:f>
        <x:v>46264</x:v>
      </x:c>
      <x:c r="K34" s="345" t="str"/>
    </x:row>
    <x:row r="35" ht="38" customHeight="1">
      <x:c r="A35" s="267" t="str">
        <x:v>T031</x:v>
      </x:c>
      <x:c r="B35" s="267" t="n">
        <x:v>7</x:v>
      </x:c>
      <x:c r="C35" s="345" t="str">
        <x:v>PL/SQL Fundamentals</x:v>
      </x:c>
      <x:c r="D35" s="345" t="str">
        <x:v>SELECT INTO</x:v>
      </x:c>
      <x:c r="E35" s="345" t="str">
        <x:v>Fetch exactly one product and handle result cardinality</x:v>
      </x:c>
      <x:c r="F35" s="345" t="str">
        <x:v>Core</x:v>
      </x:c>
      <x:c r="G35" s="345" t="str">
        <x:v>Not Started</x:v>
      </x:c>
      <x:c r="H35" s="345" t="str"/>
      <x:c r="I35" s="330" t="n">
        <x:f>IF(G35="Completed",1,IF(G35="In Progress",0.5,IF(G35="Blocked",0.25,0)))</x:f>
        <x:v>0</x:v>
      </x:c>
      <x:c r="J35" s="344" t="n">
        <x:f>'Setup'!$B$6+(B35*7)-1</x:f>
        <x:v>46271</x:v>
      </x:c>
      <x:c r="K35" s="345" t="str"/>
    </x:row>
    <x:row r="36" ht="38" customHeight="1">
      <x:c r="A36" s="267" t="str">
        <x:v>T032</x:v>
      </x:c>
      <x:c r="B36" s="267" t="n">
        <x:v>7</x:v>
      </x:c>
      <x:c r="C36" s="345" t="str">
        <x:v>PL/SQL Fundamentals</x:v>
      </x:c>
      <x:c r="D36" s="345" t="str">
        <x:v>Implicit cursor attributes</x:v>
      </x:c>
      <x:c r="E36" s="345" t="str">
        <x:v>Check SQL%ROWCOUNT, SQL%FOUND and SQL%NOTFOUND</x:v>
      </x:c>
      <x:c r="F36" s="345" t="str">
        <x:v>Core</x:v>
      </x:c>
      <x:c r="G36" s="345" t="str">
        <x:v>Not Started</x:v>
      </x:c>
      <x:c r="H36" s="345" t="str"/>
      <x:c r="I36" s="330" t="n">
        <x:f>IF(G36="Completed",1,IF(G36="In Progress",0.5,IF(G36="Blocked",0.25,0)))</x:f>
        <x:v>0</x:v>
      </x:c>
      <x:c r="J36" s="344" t="n">
        <x:f>'Setup'!$B$6+(B36*7)-1</x:f>
        <x:v>46271</x:v>
      </x:c>
      <x:c r="K36" s="345" t="str"/>
    </x:row>
    <x:row r="37" ht="38" customHeight="1">
      <x:c r="A37" s="267" t="str">
        <x:v>T033</x:v>
      </x:c>
      <x:c r="B37" s="267" t="n">
        <x:v>7</x:v>
      </x:c>
      <x:c r="C37" s="345" t="str">
        <x:v>PL/SQL Fundamentals</x:v>
      </x:c>
      <x:c r="D37" s="345" t="str">
        <x:v>DML RETURNING INTO</x:v>
      </x:c>
      <x:c r="E37" s="345" t="str">
        <x:v>Update inventory and return the resulting value</x:v>
      </x:c>
      <x:c r="F37" s="345" t="str">
        <x:v>Core</x:v>
      </x:c>
      <x:c r="G37" s="345" t="str">
        <x:v>Not Started</x:v>
      </x:c>
      <x:c r="H37" s="345" t="str"/>
      <x:c r="I37" s="330" t="n">
        <x:f>IF(G37="Completed",1,IF(G37="In Progress",0.5,IF(G37="Blocked",0.25,0)))</x:f>
        <x:v>0</x:v>
      </x:c>
      <x:c r="J37" s="344" t="n">
        <x:f>'Setup'!$B$6+(B37*7)-1</x:f>
        <x:v>46271</x:v>
      </x:c>
      <x:c r="K37" s="345" t="str"/>
    </x:row>
    <x:row r="38" ht="38" customHeight="1">
      <x:c r="A38" s="267" t="str">
        <x:v>T034</x:v>
      </x:c>
      <x:c r="B38" s="267" t="n">
        <x:v>7</x:v>
      </x:c>
      <x:c r="C38" s="345" t="str">
        <x:v>PL/SQL Fundamentals</x:v>
      </x:c>
      <x:c r="D38" s="345" t="str">
        <x:v>Transaction ownership</x:v>
      </x:c>
      <x:c r="E38" s="345" t="str">
        <x:v>Build a multi-step operation with one clear boundary</x:v>
      </x:c>
      <x:c r="F38" s="345" t="str">
        <x:v>Core</x:v>
      </x:c>
      <x:c r="G38" s="345" t="str">
        <x:v>Not Started</x:v>
      </x:c>
      <x:c r="H38" s="345" t="str"/>
      <x:c r="I38" s="330" t="n">
        <x:f>IF(G38="Completed",1,IF(G38="In Progress",0.5,IF(G38="Blocked",0.25,0)))</x:f>
        <x:v>0</x:v>
      </x:c>
      <x:c r="J38" s="344" t="n">
        <x:f>'Setup'!$B$6+(B38*7)-1</x:f>
        <x:v>46271</x:v>
      </x:c>
      <x:c r="K38" s="345" t="str"/>
    </x:row>
    <x:row r="39" ht="38" customHeight="1">
      <x:c r="A39" s="267" t="str">
        <x:v>T035</x:v>
      </x:c>
      <x:c r="B39" s="267" t="n">
        <x:v>7</x:v>
      </x:c>
      <x:c r="C39" s="345" t="str">
        <x:v>PL/SQL Fundamentals</x:v>
      </x:c>
      <x:c r="D39" s="345" t="str">
        <x:v>Basic cursor FOR loop</x:v>
      </x:c>
      <x:c r="E39" s="345" t="str">
        <x:v>Read a report result safely without manual open and close</x:v>
      </x:c>
      <x:c r="F39" s="345" t="str">
        <x:v>Important</x:v>
      </x:c>
      <x:c r="G39" s="345" t="str">
        <x:v>Not Started</x:v>
      </x:c>
      <x:c r="H39" s="345" t="str"/>
      <x:c r="I39" s="330" t="n">
        <x:f>IF(G39="Completed",1,IF(G39="In Progress",0.5,IF(G39="Blocked",0.25,0)))</x:f>
        <x:v>0</x:v>
      </x:c>
      <x:c r="J39" s="344" t="n">
        <x:f>'Setup'!$B$6+(B39*7)-1</x:f>
        <x:v>46271</x:v>
      </x:c>
      <x:c r="K39" s="345" t="str"/>
    </x:row>
    <x:row r="40" ht="38" customHeight="1">
      <x:c r="A40" s="267" t="str">
        <x:v>T036</x:v>
      </x:c>
      <x:c r="B40" s="267" t="n">
        <x:v>8</x:v>
      </x:c>
      <x:c r="C40" s="345" t="str">
        <x:v>PL/SQL Fundamentals</x:v>
      </x:c>
      <x:c r="D40" s="345" t="str">
        <x:v>Standalone procedures and functions</x:v>
      </x:c>
      <x:c r="E40" s="345" t="str">
        <x:v>Create reusable order total routines</x:v>
      </x:c>
      <x:c r="F40" s="345" t="str">
        <x:v>Core</x:v>
      </x:c>
      <x:c r="G40" s="345" t="str">
        <x:v>Not Started</x:v>
      </x:c>
      <x:c r="H40" s="345" t="str"/>
      <x:c r="I40" s="330" t="n">
        <x:f>IF(G40="Completed",1,IF(G40="In Progress",0.5,IF(G40="Blocked",0.25,0)))</x:f>
        <x:v>0</x:v>
      </x:c>
      <x:c r="J40" s="344" t="n">
        <x:f>'Setup'!$B$6+(B40*7)-1</x:f>
        <x:v>46278</x:v>
      </x:c>
      <x:c r="K40" s="345" t="str"/>
    </x:row>
    <x:row r="41" ht="38" customHeight="1">
      <x:c r="A41" s="267" t="str">
        <x:v>T037</x:v>
      </x:c>
      <x:c r="B41" s="267" t="n">
        <x:v>8</x:v>
      </x:c>
      <x:c r="C41" s="345" t="str">
        <x:v>PL/SQL Fundamentals</x:v>
      </x:c>
      <x:c r="D41" s="345" t="str">
        <x:v>IN, OUT and IN OUT parameters</x:v>
      </x:c>
      <x:c r="E41" s="345" t="str">
        <x:v>Return identifiers and calculated totals</x:v>
      </x:c>
      <x:c r="F41" s="345" t="str">
        <x:v>Core</x:v>
      </x:c>
      <x:c r="G41" s="345" t="str">
        <x:v>Not Started</x:v>
      </x:c>
      <x:c r="H41" s="345" t="str"/>
      <x:c r="I41" s="330" t="n">
        <x:f>IF(G41="Completed",1,IF(G41="In Progress",0.5,IF(G41="Blocked",0.25,0)))</x:f>
        <x:v>0</x:v>
      </x:c>
      <x:c r="J41" s="344" t="n">
        <x:f>'Setup'!$B$6+(B41*7)-1</x:f>
        <x:v>46278</x:v>
      </x:c>
      <x:c r="K41" s="345" t="str"/>
    </x:row>
    <x:row r="42" ht="38" customHeight="1">
      <x:c r="A42" s="267" t="str">
        <x:v>T038</x:v>
      </x:c>
      <x:c r="B42" s="267" t="n">
        <x:v>8</x:v>
      </x:c>
      <x:c r="C42" s="345" t="str">
        <x:v>PL/SQL Fundamentals</x:v>
      </x:c>
      <x:c r="D42" s="345" t="str">
        <x:v>Defaults and named notation</x:v>
      </x:c>
      <x:c r="E42" s="345" t="str">
        <x:v>Call routines using clear named parameters</x:v>
      </x:c>
      <x:c r="F42" s="345" t="str">
        <x:v>Important</x:v>
      </x:c>
      <x:c r="G42" s="345" t="str">
        <x:v>Not Started</x:v>
      </x:c>
      <x:c r="H42" s="345" t="str"/>
      <x:c r="I42" s="330" t="n">
        <x:f>IF(G42="Completed",1,IF(G42="In Progress",0.5,IF(G42="Blocked",0.25,0)))</x:f>
        <x:v>0</x:v>
      </x:c>
      <x:c r="J42" s="344" t="n">
        <x:f>'Setup'!$B$6+(B42*7)-1</x:f>
        <x:v>46278</x:v>
      </x:c>
      <x:c r="K42" s="345" t="str"/>
    </x:row>
    <x:row r="43" ht="38" customHeight="1">
      <x:c r="A43" s="267" t="str">
        <x:v>T039</x:v>
      </x:c>
      <x:c r="B43" s="267" t="n">
        <x:v>8</x:v>
      </x:c>
      <x:c r="C43" s="345" t="str">
        <x:v>PL/SQL Fundamentals</x:v>
      </x:c>
      <x:c r="D43" s="345" t="str">
        <x:v>Predefined and user exceptions</x:v>
      </x:c>
      <x:c r="E43" s="345" t="str">
        <x:v>Handle expected data and business failures</x:v>
      </x:c>
      <x:c r="F43" s="345" t="str">
        <x:v>Core</x:v>
      </x:c>
      <x:c r="G43" s="345" t="str">
        <x:v>Not Started</x:v>
      </x:c>
      <x:c r="H43" s="345" t="str"/>
      <x:c r="I43" s="330" t="n">
        <x:f>IF(G43="Completed",1,IF(G43="In Progress",0.5,IF(G43="Blocked",0.25,0)))</x:f>
        <x:v>0</x:v>
      </x:c>
      <x:c r="J43" s="344" t="n">
        <x:f>'Setup'!$B$6+(B43*7)-1</x:f>
        <x:v>46278</x:v>
      </x:c>
      <x:c r="K43" s="345" t="str"/>
    </x:row>
    <x:row r="44" ht="38" customHeight="1">
      <x:c r="A44" s="267" t="str">
        <x:v>T040</x:v>
      </x:c>
      <x:c r="B44" s="267" t="n">
        <x:v>8</x:v>
      </x:c>
      <x:c r="C44" s="345" t="str">
        <x:v>PL/SQL Fundamentals</x:v>
      </x:c>
      <x:c r="D44" s="345" t="str">
        <x:v>RAISE and RAISE_APPLICATION_ERROR</x:v>
      </x:c>
      <x:c r="E44" s="345" t="str">
        <x:v>Expose a meaningful application error</x:v>
      </x:c>
      <x:c r="F44" s="345" t="str">
        <x:v>Core</x:v>
      </x:c>
      <x:c r="G44" s="345" t="str">
        <x:v>Not Started</x:v>
      </x:c>
      <x:c r="H44" s="345" t="str"/>
      <x:c r="I44" s="330" t="n">
        <x:f>IF(G44="Completed",1,IF(G44="In Progress",0.5,IF(G44="Blocked",0.25,0)))</x:f>
        <x:v>0</x:v>
      </x:c>
      <x:c r="J44" s="344" t="n">
        <x:f>'Setup'!$B$6+(B44*7)-1</x:f>
        <x:v>46278</x:v>
      </x:c>
      <x:c r="K44" s="345" t="str"/>
    </x:row>
    <x:row r="45" ht="38" customHeight="1">
      <x:c r="A45" s="267" t="str">
        <x:v>T041</x:v>
      </x:c>
      <x:c r="B45" s="267" t="n">
        <x:v>9</x:v>
      </x:c>
      <x:c r="C45" s="345" t="str">
        <x:v>Intermediate PL/SQL</x:v>
      </x:c>
      <x:c r="D45" s="345" t="str">
        <x:v>Explicit cursor lifecycle</x:v>
      </x:c>
      <x:c r="E45" s="345" t="str">
        <x:v>OPEN, FETCH and CLOSE a multi-row result</x:v>
      </x:c>
      <x:c r="F45" s="345" t="str">
        <x:v>Core</x:v>
      </x:c>
      <x:c r="G45" s="345" t="str">
        <x:v>Not Started</x:v>
      </x:c>
      <x:c r="H45" s="345" t="str"/>
      <x:c r="I45" s="330" t="n">
        <x:f>IF(G45="Completed",1,IF(G45="In Progress",0.5,IF(G45="Blocked",0.25,0)))</x:f>
        <x:v>0</x:v>
      </x:c>
      <x:c r="J45" s="344" t="n">
        <x:f>'Setup'!$B$6+(B45*7)-1</x:f>
        <x:v>46285</x:v>
      </x:c>
      <x:c r="K45" s="345" t="str"/>
    </x:row>
    <x:row r="46" ht="38" customHeight="1">
      <x:c r="A46" s="267" t="str">
        <x:v>T042</x:v>
      </x:c>
      <x:c r="B46" s="267" t="n">
        <x:v>9</x:v>
      </x:c>
      <x:c r="C46" s="345" t="str">
        <x:v>Intermediate PL/SQL</x:v>
      </x:c>
      <x:c r="D46" s="345" t="str">
        <x:v>Parameterized cursors</x:v>
      </x:c>
      <x:c r="E46" s="345" t="str">
        <x:v>Filter orders through cursor parameters</x:v>
      </x:c>
      <x:c r="F46" s="345" t="str">
        <x:v>Core</x:v>
      </x:c>
      <x:c r="G46" s="345" t="str">
        <x:v>Not Started</x:v>
      </x:c>
      <x:c r="H46" s="345" t="str"/>
      <x:c r="I46" s="330" t="n">
        <x:f>IF(G46="Completed",1,IF(G46="In Progress",0.5,IF(G46="Blocked",0.25,0)))</x:f>
        <x:v>0</x:v>
      </x:c>
      <x:c r="J46" s="344" t="n">
        <x:f>'Setup'!$B$6+(B46*7)-1</x:f>
        <x:v>46285</x:v>
      </x:c>
      <x:c r="K46" s="345" t="str"/>
    </x:row>
    <x:row r="47" ht="38" customHeight="1">
      <x:c r="A47" s="267" t="str">
        <x:v>T043</x:v>
      </x:c>
      <x:c r="B47" s="267" t="n">
        <x:v>9</x:v>
      </x:c>
      <x:c r="C47" s="345" t="str">
        <x:v>Intermediate PL/SQL</x:v>
      </x:c>
      <x:c r="D47" s="345" t="str">
        <x:v>Cursor attributes and cursor FOR loops</x:v>
      </x:c>
      <x:c r="E47" s="345" t="str">
        <x:v>Choose the simplest correct cursor style</x:v>
      </x:c>
      <x:c r="F47" s="345" t="str">
        <x:v>Core</x:v>
      </x:c>
      <x:c r="G47" s="345" t="str">
        <x:v>Not Started</x:v>
      </x:c>
      <x:c r="H47" s="345" t="str"/>
      <x:c r="I47" s="330" t="n">
        <x:f>IF(G47="Completed",1,IF(G47="In Progress",0.5,IF(G47="Blocked",0.25,0)))</x:f>
        <x:v>0</x:v>
      </x:c>
      <x:c r="J47" s="344" t="n">
        <x:f>'Setup'!$B$6+(B47*7)-1</x:f>
        <x:v>46285</x:v>
      </x:c>
      <x:c r="K47" s="345" t="str"/>
    </x:row>
    <x:row r="48" ht="38" customHeight="1">
      <x:c r="A48" s="267" t="str">
        <x:v>T044</x:v>
      </x:c>
      <x:c r="B48" s="267" t="n">
        <x:v>9</x:v>
      </x:c>
      <x:c r="C48" s="345" t="str">
        <x:v>Intermediate PL/SQL</x:v>
      </x:c>
      <x:c r="D48" s="345" t="str">
        <x:v>SELECT FOR UPDATE and CURRENT OF</x:v>
      </x:c>
      <x:c r="E48" s="345" t="str">
        <x:v>Lock and update an order safely</x:v>
      </x:c>
      <x:c r="F48" s="345" t="str">
        <x:v>Important</x:v>
      </x:c>
      <x:c r="G48" s="345" t="str">
        <x:v>Not Started</x:v>
      </x:c>
      <x:c r="H48" s="345" t="str"/>
      <x:c r="I48" s="330" t="n">
        <x:f>IF(G48="Completed",1,IF(G48="In Progress",0.5,IF(G48="Blocked",0.25,0)))</x:f>
        <x:v>0</x:v>
      </x:c>
      <x:c r="J48" s="344" t="n">
        <x:f>'Setup'!$B$6+(B48*7)-1</x:f>
        <x:v>46285</x:v>
      </x:c>
      <x:c r="K48" s="345" t="str"/>
    </x:row>
    <x:row r="49" ht="38" customHeight="1">
      <x:c r="A49" s="267" t="str">
        <x:v>T045</x:v>
      </x:c>
      <x:c r="B49" s="267" t="n">
        <x:v>9</x:v>
      </x:c>
      <x:c r="C49" s="345" t="str">
        <x:v>Intermediate PL/SQL</x:v>
      </x:c>
      <x:c r="D49" s="345" t="str">
        <x:v>SYS_REFCURSOR and records</x:v>
      </x:c>
      <x:c r="E49" s="345" t="str">
        <x:v>Return a flexible report result set</x:v>
      </x:c>
      <x:c r="F49" s="345" t="str">
        <x:v>Important</x:v>
      </x:c>
      <x:c r="G49" s="345" t="str">
        <x:v>Not Started</x:v>
      </x:c>
      <x:c r="H49" s="345" t="str"/>
      <x:c r="I49" s="330" t="n">
        <x:f>IF(G49="Completed",1,IF(G49="In Progress",0.5,IF(G49="Blocked",0.25,0)))</x:f>
        <x:v>0</x:v>
      </x:c>
      <x:c r="J49" s="344" t="n">
        <x:f>'Setup'!$B$6+(B49*7)-1</x:f>
        <x:v>46285</x:v>
      </x:c>
      <x:c r="K49" s="345" t="str"/>
    </x:row>
    <x:row r="50" ht="38" customHeight="1">
      <x:c r="A50" s="267" t="str">
        <x:v>T046</x:v>
      </x:c>
      <x:c r="B50" s="267" t="n">
        <x:v>10</x:v>
      </x:c>
      <x:c r="C50" s="345" t="str">
        <x:v>Intermediate PL/SQL</x:v>
      </x:c>
      <x:c r="D50" s="345" t="str">
        <x:v>Associative arrays</x:v>
      </x:c>
      <x:c r="E50" s="345" t="str">
        <x:v>Build an indexed in-memory lookup</x:v>
      </x:c>
      <x:c r="F50" s="345" t="str">
        <x:v>Core</x:v>
      </x:c>
      <x:c r="G50" s="345" t="str">
        <x:v>Not Started</x:v>
      </x:c>
      <x:c r="H50" s="345" t="str"/>
      <x:c r="I50" s="330" t="n">
        <x:f>IF(G50="Completed",1,IF(G50="In Progress",0.5,IF(G50="Blocked",0.25,0)))</x:f>
        <x:v>0</x:v>
      </x:c>
      <x:c r="J50" s="344" t="n">
        <x:f>'Setup'!$B$6+(B50*7)-1</x:f>
        <x:v>46292</x:v>
      </x:c>
      <x:c r="K50" s="345" t="str"/>
    </x:row>
    <x:row r="51" ht="38" customHeight="1">
      <x:c r="A51" s="267" t="str">
        <x:v>T047</x:v>
      </x:c>
      <x:c r="B51" s="267" t="n">
        <x:v>10</x:v>
      </x:c>
      <x:c r="C51" s="345" t="str">
        <x:v>Intermediate PL/SQL</x:v>
      </x:c>
      <x:c r="D51" s="345" t="str">
        <x:v>Nested tables</x:v>
      </x:c>
      <x:c r="E51" s="345" t="str">
        <x:v>Store and query a variable-size collection</x:v>
      </x:c>
      <x:c r="F51" s="345" t="str">
        <x:v>Core</x:v>
      </x:c>
      <x:c r="G51" s="345" t="str">
        <x:v>Not Started</x:v>
      </x:c>
      <x:c r="H51" s="345" t="str"/>
      <x:c r="I51" s="330" t="n">
        <x:f>IF(G51="Completed",1,IF(G51="In Progress",0.5,IF(G51="Blocked",0.25,0)))</x:f>
        <x:v>0</x:v>
      </x:c>
      <x:c r="J51" s="344" t="n">
        <x:f>'Setup'!$B$6+(B51*7)-1</x:f>
        <x:v>46292</x:v>
      </x:c>
      <x:c r="K51" s="345" t="str"/>
    </x:row>
    <x:row r="52" ht="38" customHeight="1">
      <x:c r="A52" s="267" t="str">
        <x:v>T048</x:v>
      </x:c>
      <x:c r="B52" s="267" t="n">
        <x:v>10</x:v>
      </x:c>
      <x:c r="C52" s="345" t="str">
        <x:v>Intermediate PL/SQL</x:v>
      </x:c>
      <x:c r="D52" s="345" t="str">
        <x:v>Varrays</x:v>
      </x:c>
      <x:c r="E52" s="345" t="str">
        <x:v>Explain and implement a bounded collection use case</x:v>
      </x:c>
      <x:c r="F52" s="345" t="str">
        <x:v>Important</x:v>
      </x:c>
      <x:c r="G52" s="345" t="str">
        <x:v>Not Started</x:v>
      </x:c>
      <x:c r="H52" s="345" t="str"/>
      <x:c r="I52" s="330" t="n">
        <x:f>IF(G52="Completed",1,IF(G52="In Progress",0.5,IF(G52="Blocked",0.25,0)))</x:f>
        <x:v>0</x:v>
      </x:c>
      <x:c r="J52" s="344" t="n">
        <x:f>'Setup'!$B$6+(B52*7)-1</x:f>
        <x:v>46292</x:v>
      </x:c>
      <x:c r="K52" s="345" t="str"/>
    </x:row>
    <x:row r="53" ht="38" customHeight="1">
      <x:c r="A53" s="267" t="str">
        <x:v>T049</x:v>
      </x:c>
      <x:c r="B53" s="267" t="n">
        <x:v>10</x:v>
      </x:c>
      <x:c r="C53" s="345" t="str">
        <x:v>Intermediate PL/SQL</x:v>
      </x:c>
      <x:c r="D53" s="345" t="str">
        <x:v>Collection methods</x:v>
      </x:c>
      <x:c r="E53" s="345" t="str">
        <x:v>Use COUNT, FIRST, LAST, NEXT, EXISTS and DELETE</x:v>
      </x:c>
      <x:c r="F53" s="345" t="str">
        <x:v>Core</x:v>
      </x:c>
      <x:c r="G53" s="345" t="str">
        <x:v>Not Started</x:v>
      </x:c>
      <x:c r="H53" s="345" t="str"/>
      <x:c r="I53" s="330" t="n">
        <x:f>IF(G53="Completed",1,IF(G53="In Progress",0.5,IF(G53="Blocked",0.25,0)))</x:f>
        <x:v>0</x:v>
      </x:c>
      <x:c r="J53" s="344" t="n">
        <x:f>'Setup'!$B$6+(B53*7)-1</x:f>
        <x:v>46292</x:v>
      </x:c>
      <x:c r="K53" s="345" t="str"/>
    </x:row>
    <x:row r="54" ht="38" customHeight="1">
      <x:c r="A54" s="267" t="str">
        <x:v>T050</x:v>
      </x:c>
      <x:c r="B54" s="267" t="n">
        <x:v>10</x:v>
      </x:c>
      <x:c r="C54" s="345" t="str">
        <x:v>Intermediate PL/SQL</x:v>
      </x:c>
      <x:c r="D54" s="345" t="str">
        <x:v>Collections of records</x:v>
      </x:c>
      <x:c r="E54" s="345" t="str">
        <x:v>Transform a set of inventory records</x:v>
      </x:c>
      <x:c r="F54" s="345" t="str">
        <x:v>Core</x:v>
      </x:c>
      <x:c r="G54" s="345" t="str">
        <x:v>Not Started</x:v>
      </x:c>
      <x:c r="H54" s="345" t="str"/>
      <x:c r="I54" s="330" t="n">
        <x:f>IF(G54="Completed",1,IF(G54="In Progress",0.5,IF(G54="Blocked",0.25,0)))</x:f>
        <x:v>0</x:v>
      </x:c>
      <x:c r="J54" s="344" t="n">
        <x:f>'Setup'!$B$6+(B54*7)-1</x:f>
        <x:v>46292</x:v>
      </x:c>
      <x:c r="K54" s="345" t="str"/>
    </x:row>
    <x:row r="55" ht="38" customHeight="1">
      <x:c r="A55" s="267" t="str">
        <x:v>T051</x:v>
      </x:c>
      <x:c r="B55" s="267" t="n">
        <x:v>11</x:v>
      </x:c>
      <x:c r="C55" s="345" t="str">
        <x:v>Intermediate PL/SQL</x:v>
      </x:c>
      <x:c r="D55" s="345" t="str">
        <x:v>Package specification and body</x:v>
      </x:c>
      <x:c r="E55" s="345" t="str">
        <x:v>Separate the public API from implementation</x:v>
      </x:c>
      <x:c r="F55" s="345" t="str">
        <x:v>Core</x:v>
      </x:c>
      <x:c r="G55" s="345" t="str">
        <x:v>Not Started</x:v>
      </x:c>
      <x:c r="H55" s="345" t="str"/>
      <x:c r="I55" s="330" t="n">
        <x:f>IF(G55="Completed",1,IF(G55="In Progress",0.5,IF(G55="Blocked",0.25,0)))</x:f>
        <x:v>0</x:v>
      </x:c>
      <x:c r="J55" s="344" t="n">
        <x:f>'Setup'!$B$6+(B55*7)-1</x:f>
        <x:v>46299</x:v>
      </x:c>
      <x:c r="K55" s="345" t="str"/>
    </x:row>
    <x:row r="56" ht="38" customHeight="1">
      <x:c r="A56" s="267" t="str">
        <x:v>T052</x:v>
      </x:c>
      <x:c r="B56" s="267" t="n">
        <x:v>11</x:v>
      </x:c>
      <x:c r="C56" s="345" t="str">
        <x:v>Intermediate PL/SQL</x:v>
      </x:c>
      <x:c r="D56" s="345" t="str">
        <x:v>Public and private members</x:v>
      </x:c>
      <x:c r="E56" s="345" t="str">
        <x:v>Hide helper routines from callers</x:v>
      </x:c>
      <x:c r="F56" s="345" t="str">
        <x:v>Core</x:v>
      </x:c>
      <x:c r="G56" s="345" t="str">
        <x:v>Not Started</x:v>
      </x:c>
      <x:c r="H56" s="345" t="str"/>
      <x:c r="I56" s="330" t="n">
        <x:f>IF(G56="Completed",1,IF(G56="In Progress",0.5,IF(G56="Blocked",0.25,0)))</x:f>
        <x:v>0</x:v>
      </x:c>
      <x:c r="J56" s="344" t="n">
        <x:f>'Setup'!$B$6+(B56*7)-1</x:f>
        <x:v>46299</x:v>
      </x:c>
      <x:c r="K56" s="345" t="str"/>
    </x:row>
    <x:row r="57" ht="38" customHeight="1">
      <x:c r="A57" s="267" t="str">
        <x:v>T053</x:v>
      </x:c>
      <x:c r="B57" s="267" t="n">
        <x:v>11</x:v>
      </x:c>
      <x:c r="C57" s="345" t="str">
        <x:v>Intermediate PL/SQL</x:v>
      </x:c>
      <x:c r="D57" s="345" t="str">
        <x:v>Overloading and forward declarations</x:v>
      </x:c>
      <x:c r="E57" s="345" t="str">
        <x:v>Design clear related API operations</x:v>
      </x:c>
      <x:c r="F57" s="345" t="str">
        <x:v>Important</x:v>
      </x:c>
      <x:c r="G57" s="345" t="str">
        <x:v>Not Started</x:v>
      </x:c>
      <x:c r="H57" s="345" t="str"/>
      <x:c r="I57" s="330" t="n">
        <x:f>IF(G57="Completed",1,IF(G57="In Progress",0.5,IF(G57="Blocked",0.25,0)))</x:f>
        <x:v>0</x:v>
      </x:c>
      <x:c r="J57" s="344" t="n">
        <x:f>'Setup'!$B$6+(B57*7)-1</x:f>
        <x:v>46299</x:v>
      </x:c>
      <x:c r="K57" s="345" t="str"/>
    </x:row>
    <x:row r="58" ht="38" customHeight="1">
      <x:c r="A58" s="267" t="str">
        <x:v>T054</x:v>
      </x:c>
      <x:c r="B58" s="267" t="n">
        <x:v>11</x:v>
      </x:c>
      <x:c r="C58" s="345" t="str">
        <x:v>Intermediate PL/SQL</x:v>
      </x:c>
      <x:c r="D58" s="345" t="str">
        <x:v>Package initialization and state</x:v>
      </x:c>
      <x:c r="E58" s="345" t="str">
        <x:v>Demonstrate session-specific package state</x:v>
      </x:c>
      <x:c r="F58" s="345" t="str">
        <x:v>Important</x:v>
      </x:c>
      <x:c r="G58" s="345" t="str">
        <x:v>Not Started</x:v>
      </x:c>
      <x:c r="H58" s="345" t="str"/>
      <x:c r="I58" s="330" t="n">
        <x:f>IF(G58="Completed",1,IF(G58="In Progress",0.5,IF(G58="Blocked",0.25,0)))</x:f>
        <x:v>0</x:v>
      </x:c>
      <x:c r="J58" s="344" t="n">
        <x:f>'Setup'!$B$6+(B58*7)-1</x:f>
        <x:v>46299</x:v>
      </x:c>
      <x:c r="K58" s="345" t="str"/>
    </x:row>
    <x:row r="59" ht="38" customHeight="1">
      <x:c r="A59" s="267" t="str">
        <x:v>T055</x:v>
      </x:c>
      <x:c r="B59" s="267" t="n">
        <x:v>11</x:v>
      </x:c>
      <x:c r="C59" s="345" t="str">
        <x:v>Intermediate PL/SQL</x:v>
      </x:c>
      <x:c r="D59" s="345" t="str">
        <x:v>Dependencies and compilation errors</x:v>
      </x:c>
      <x:c r="E59" s="345" t="str">
        <x:v>Find and repair an invalid package</x:v>
      </x:c>
      <x:c r="F59" s="345" t="str">
        <x:v>Core</x:v>
      </x:c>
      <x:c r="G59" s="345" t="str">
        <x:v>Not Started</x:v>
      </x:c>
      <x:c r="H59" s="345" t="str"/>
      <x:c r="I59" s="330" t="n">
        <x:f>IF(G59="Completed",1,IF(G59="In Progress",0.5,IF(G59="Blocked",0.25,0)))</x:f>
        <x:v>0</x:v>
      </x:c>
      <x:c r="J59" s="344" t="n">
        <x:f>'Setup'!$B$6+(B59*7)-1</x:f>
        <x:v>46299</x:v>
      </x:c>
      <x:c r="K59" s="345" t="str"/>
    </x:row>
    <x:row r="60" ht="38" customHeight="1">
      <x:c r="A60" s="267" t="str">
        <x:v>T056</x:v>
      </x:c>
      <x:c r="B60" s="267" t="n">
        <x:v>12</x:v>
      </x:c>
      <x:c r="C60" s="345" t="str">
        <x:v>Intermediate PL/SQL</x:v>
      </x:c>
      <x:c r="D60" s="345" t="str">
        <x:v>Row and statement DML triggers</x:v>
      </x:c>
      <x:c r="E60" s="345" t="str">
        <x:v>Compare trigger timing and scope</x:v>
      </x:c>
      <x:c r="F60" s="345" t="str">
        <x:v>Core</x:v>
      </x:c>
      <x:c r="G60" s="345" t="str">
        <x:v>Not Started</x:v>
      </x:c>
      <x:c r="H60" s="345" t="str"/>
      <x:c r="I60" s="330" t="n">
        <x:f>IF(G60="Completed",1,IF(G60="In Progress",0.5,IF(G60="Blocked",0.25,0)))</x:f>
        <x:v>0</x:v>
      </x:c>
      <x:c r="J60" s="344" t="n">
        <x:f>'Setup'!$B$6+(B60*7)-1</x:f>
        <x:v>46306</x:v>
      </x:c>
      <x:c r="K60" s="345" t="str"/>
    </x:row>
    <x:row r="61" ht="38" customHeight="1">
      <x:c r="A61" s="267" t="str">
        <x:v>T057</x:v>
      </x:c>
      <x:c r="B61" s="267" t="n">
        <x:v>12</x:v>
      </x:c>
      <x:c r="C61" s="345" t="str">
        <x:v>Intermediate PL/SQL</x:v>
      </x:c>
      <x:c r="D61" s="345" t="str">
        <x:v>:OLD, :NEW and DML predicates</x:v>
      </x:c>
      <x:c r="E61" s="345" t="str">
        <x:v>Build a focused audit trigger</x:v>
      </x:c>
      <x:c r="F61" s="345" t="str">
        <x:v>Core</x:v>
      </x:c>
      <x:c r="G61" s="345" t="str">
        <x:v>Not Started</x:v>
      </x:c>
      <x:c r="H61" s="345" t="str"/>
      <x:c r="I61" s="330" t="n">
        <x:f>IF(G61="Completed",1,IF(G61="In Progress",0.5,IF(G61="Blocked",0.25,0)))</x:f>
        <x:v>0</x:v>
      </x:c>
      <x:c r="J61" s="344" t="n">
        <x:f>'Setup'!$B$6+(B61*7)-1</x:f>
        <x:v>46306</x:v>
      </x:c>
      <x:c r="K61" s="345" t="str"/>
    </x:row>
    <x:row r="62" ht="38" customHeight="1">
      <x:c r="A62" s="267" t="str">
        <x:v>T058</x:v>
      </x:c>
      <x:c r="B62" s="267" t="n">
        <x:v>12</x:v>
      </x:c>
      <x:c r="C62" s="345" t="str">
        <x:v>Intermediate PL/SQL</x:v>
      </x:c>
      <x:c r="D62" s="345" t="str">
        <x:v>Compound and INSTEAD OF triggers</x:v>
      </x:c>
      <x:c r="E62" s="345" t="str">
        <x:v>Solve a controlled advanced trigger scenario</x:v>
      </x:c>
      <x:c r="F62" s="345" t="str">
        <x:v>Important</x:v>
      </x:c>
      <x:c r="G62" s="345" t="str">
        <x:v>Not Started</x:v>
      </x:c>
      <x:c r="H62" s="345" t="str"/>
      <x:c r="I62" s="330" t="n">
        <x:f>IF(G62="Completed",1,IF(G62="In Progress",0.5,IF(G62="Blocked",0.25,0)))</x:f>
        <x:v>0</x:v>
      </x:c>
      <x:c r="J62" s="344" t="n">
        <x:f>'Setup'!$B$6+(B62*7)-1</x:f>
        <x:v>46306</x:v>
      </x:c>
      <x:c r="K62" s="345" t="str"/>
    </x:row>
    <x:row r="63" ht="38" customHeight="1">
      <x:c r="A63" s="267" t="str">
        <x:v>T059</x:v>
      </x:c>
      <x:c r="B63" s="267" t="n">
        <x:v>12</x:v>
      </x:c>
      <x:c r="C63" s="345" t="str">
        <x:v>Intermediate PL/SQL</x:v>
      </x:c>
      <x:c r="D63" s="345" t="str">
        <x:v>Mutating tables and trigger design</x:v>
      </x:c>
      <x:c r="E63" s="345" t="str">
        <x:v>Refactor hidden business logic into a package</x:v>
      </x:c>
      <x:c r="F63" s="345" t="str">
        <x:v>Core</x:v>
      </x:c>
      <x:c r="G63" s="345" t="str">
        <x:v>Not Started</x:v>
      </x:c>
      <x:c r="H63" s="345" t="str"/>
      <x:c r="I63" s="330" t="n">
        <x:f>IF(G63="Completed",1,IF(G63="In Progress",0.5,IF(G63="Blocked",0.25,0)))</x:f>
        <x:v>0</x:v>
      </x:c>
      <x:c r="J63" s="344" t="n">
        <x:f>'Setup'!$B$6+(B63*7)-1</x:f>
        <x:v>46306</x:v>
      </x:c>
      <x:c r="K63" s="345" t="str"/>
    </x:row>
    <x:row r="64" ht="38" customHeight="1">
      <x:c r="A64" s="267" t="str">
        <x:v>T060</x:v>
      </x:c>
      <x:c r="B64" s="267" t="n">
        <x:v>12</x:v>
      </x:c>
      <x:c r="C64" s="345" t="str">
        <x:v>Intermediate PL/SQL</x:v>
      </x:c>
      <x:c r="D64" s="345" t="str">
        <x:v>Structured error package</x:v>
      </x:c>
      <x:c r="E64" s="345" t="str">
        <x:v>Capture stack, backtrace and business context</x:v>
      </x:c>
      <x:c r="F64" s="345" t="str">
        <x:v>Core</x:v>
      </x:c>
      <x:c r="G64" s="345" t="str">
        <x:v>Not Started</x:v>
      </x:c>
      <x:c r="H64" s="345" t="str"/>
      <x:c r="I64" s="330" t="n">
        <x:f>IF(G64="Completed",1,IF(G64="In Progress",0.5,IF(G64="Blocked",0.25,0)))</x:f>
        <x:v>0</x:v>
      </x:c>
      <x:c r="J64" s="344" t="n">
        <x:f>'Setup'!$B$6+(B64*7)-1</x:f>
        <x:v>46306</x:v>
      </x:c>
      <x:c r="K64" s="345" t="str"/>
    </x:row>
    <x:row r="65" ht="38" customHeight="1">
      <x:c r="A65" s="267" t="str">
        <x:v>T061</x:v>
      </x:c>
      <x:c r="B65" s="267" t="n">
        <x:v>13</x:v>
      </x:c>
      <x:c r="C65" s="345" t="str">
        <x:v>Enterprise PL/SQL</x:v>
      </x:c>
      <x:c r="D65" s="345" t="str">
        <x:v>Transaction boundaries and atomicity</x:v>
      </x:c>
      <x:c r="E65" s="345" t="str">
        <x:v>Define the owner of commit and rollback</x:v>
      </x:c>
      <x:c r="F65" s="345" t="str">
        <x:v>Core</x:v>
      </x:c>
      <x:c r="G65" s="345" t="str">
        <x:v>Not Started</x:v>
      </x:c>
      <x:c r="H65" s="345" t="str"/>
      <x:c r="I65" s="330" t="n">
        <x:f>IF(G65="Completed",1,IF(G65="In Progress",0.5,IF(G65="Blocked",0.25,0)))</x:f>
        <x:v>0</x:v>
      </x:c>
      <x:c r="J65" s="344" t="n">
        <x:f>'Setup'!$B$6+(B65*7)-1</x:f>
        <x:v>46313</x:v>
      </x:c>
      <x:c r="K65" s="345" t="str"/>
    </x:row>
    <x:row r="66" ht="38" customHeight="1">
      <x:c r="A66" s="267" t="str">
        <x:v>T062</x:v>
      </x:c>
      <x:c r="B66" s="267" t="n">
        <x:v>13</x:v>
      </x:c>
      <x:c r="C66" s="345" t="str">
        <x:v>Enterprise PL/SQL</x:v>
      </x:c>
      <x:c r="D66" s="345" t="str">
        <x:v>Read consistency and row locking</x:v>
      </x:c>
      <x:c r="E66" s="345" t="str">
        <x:v>Observe locks from two sessions</x:v>
      </x:c>
      <x:c r="F66" s="345" t="str">
        <x:v>Core</x:v>
      </x:c>
      <x:c r="G66" s="345" t="str">
        <x:v>Not Started</x:v>
      </x:c>
      <x:c r="H66" s="345" t="str"/>
      <x:c r="I66" s="330" t="n">
        <x:f>IF(G66="Completed",1,IF(G66="In Progress",0.5,IF(G66="Blocked",0.25,0)))</x:f>
        <x:v>0</x:v>
      </x:c>
      <x:c r="J66" s="344" t="n">
        <x:f>'Setup'!$B$6+(B66*7)-1</x:f>
        <x:v>46313</x:v>
      </x:c>
      <x:c r="K66" s="345" t="str"/>
    </x:row>
    <x:row r="67" ht="38" customHeight="1">
      <x:c r="A67" s="267" t="str">
        <x:v>T063</x:v>
      </x:c>
      <x:c r="B67" s="267" t="n">
        <x:v>13</x:v>
      </x:c>
      <x:c r="C67" s="345" t="str">
        <x:v>Enterprise PL/SQL</x:v>
      </x:c>
      <x:c r="D67" s="345" t="str">
        <x:v>NOWAIT and SKIP LOCKED</x:v>
      </x:c>
      <x:c r="E67" s="345" t="str">
        <x:v>Build a controlled work-queue example</x:v>
      </x:c>
      <x:c r="F67" s="345" t="str">
        <x:v>Important</x:v>
      </x:c>
      <x:c r="G67" s="345" t="str">
        <x:v>Not Started</x:v>
      </x:c>
      <x:c r="H67" s="345" t="str"/>
      <x:c r="I67" s="330" t="n">
        <x:f>IF(G67="Completed",1,IF(G67="In Progress",0.5,IF(G67="Blocked",0.25,0)))</x:f>
        <x:v>0</x:v>
      </x:c>
      <x:c r="J67" s="344" t="n">
        <x:f>'Setup'!$B$6+(B67*7)-1</x:f>
        <x:v>46313</x:v>
      </x:c>
      <x:c r="K67" s="345" t="str"/>
    </x:row>
    <x:row r="68" ht="38" customHeight="1">
      <x:c r="A68" s="267" t="str">
        <x:v>T064</x:v>
      </x:c>
      <x:c r="B68" s="267" t="n">
        <x:v>13</x:v>
      </x:c>
      <x:c r="C68" s="345" t="str">
        <x:v>Enterprise PL/SQL</x:v>
      </x:c>
      <x:c r="D68" s="345" t="str">
        <x:v>Lost updates and optimistic locking</x:v>
      </x:c>
      <x:c r="E68" s="345" t="str">
        <x:v>Reject an update using a stale version</x:v>
      </x:c>
      <x:c r="F68" s="345" t="str">
        <x:v>Core</x:v>
      </x:c>
      <x:c r="G68" s="345" t="str">
        <x:v>Not Started</x:v>
      </x:c>
      <x:c r="H68" s="345" t="str"/>
      <x:c r="I68" s="330" t="n">
        <x:f>IF(G68="Completed",1,IF(G68="In Progress",0.5,IF(G68="Blocked",0.25,0)))</x:f>
        <x:v>0</x:v>
      </x:c>
      <x:c r="J68" s="344" t="n">
        <x:f>'Setup'!$B$6+(B68*7)-1</x:f>
        <x:v>46313</x:v>
      </x:c>
      <x:c r="K68" s="345" t="str"/>
    </x:row>
    <x:row r="69" ht="38" customHeight="1">
      <x:c r="A69" s="267" t="str">
        <x:v>T065</x:v>
      </x:c>
      <x:c r="B69" s="267" t="n">
        <x:v>13</x:v>
      </x:c>
      <x:c r="C69" s="345" t="str">
        <x:v>Enterprise PL/SQL</x:v>
      </x:c>
      <x:c r="D69" s="345" t="str">
        <x:v>Deadlocks and savepoints</x:v>
      </x:c>
      <x:c r="E69" s="345" t="str">
        <x:v>Reproduce and explain a locking failure</x:v>
      </x:c>
      <x:c r="F69" s="345" t="str">
        <x:v>Important</x:v>
      </x:c>
      <x:c r="G69" s="345" t="str">
        <x:v>Not Started</x:v>
      </x:c>
      <x:c r="H69" s="345" t="str"/>
      <x:c r="I69" s="330" t="n">
        <x:f>IF(G69="Completed",1,IF(G69="In Progress",0.5,IF(G69="Blocked",0.25,0)))</x:f>
        <x:v>0</x:v>
      </x:c>
      <x:c r="J69" s="344" t="n">
        <x:f>'Setup'!$B$6+(B69*7)-1</x:f>
        <x:v>46313</x:v>
      </x:c>
      <x:c r="K69" s="345" t="str"/>
    </x:row>
    <x:row r="70" ht="38" customHeight="1">
      <x:c r="A70" s="267" t="str">
        <x:v>T066</x:v>
      </x:c>
      <x:c r="B70" s="267" t="n">
        <x:v>14</x:v>
      </x:c>
      <x:c r="C70" s="345" t="str">
        <x:v>Enterprise PL/SQL</x:v>
      </x:c>
      <x:c r="D70" s="345" t="str">
        <x:v>When dynamic SQL is required</x:v>
      </x:c>
      <x:c r="E70" s="345" t="str">
        <x:v>Separate genuine needs from avoidable dynamic SQL</x:v>
      </x:c>
      <x:c r="F70" s="345" t="str">
        <x:v>Core</x:v>
      </x:c>
      <x:c r="G70" s="345" t="str">
        <x:v>Not Started</x:v>
      </x:c>
      <x:c r="H70" s="345" t="str"/>
      <x:c r="I70" s="330" t="n">
        <x:f>IF(G70="Completed",1,IF(G70="In Progress",0.5,IF(G70="Blocked",0.25,0)))</x:f>
        <x:v>0</x:v>
      </x:c>
      <x:c r="J70" s="344" t="n">
        <x:f>'Setup'!$B$6+(B70*7)-1</x:f>
        <x:v>46320</x:v>
      </x:c>
      <x:c r="K70" s="345" t="str"/>
    </x:row>
    <x:row r="71" ht="38" customHeight="1">
      <x:c r="A71" s="267" t="str">
        <x:v>T067</x:v>
      </x:c>
      <x:c r="B71" s="267" t="n">
        <x:v>14</x:v>
      </x:c>
      <x:c r="C71" s="345" t="str">
        <x:v>Enterprise PL/SQL</x:v>
      </x:c>
      <x:c r="D71" s="345" t="str">
        <x:v>EXECUTE IMMEDIATE</x:v>
      </x:c>
      <x:c r="E71" s="345" t="str">
        <x:v>Run dynamic DML and capture output safely</x:v>
      </x:c>
      <x:c r="F71" s="345" t="str">
        <x:v>Core</x:v>
      </x:c>
      <x:c r="G71" s="345" t="str">
        <x:v>Not Started</x:v>
      </x:c>
      <x:c r="H71" s="345" t="str"/>
      <x:c r="I71" s="330" t="n">
        <x:f>IF(G71="Completed",1,IF(G71="In Progress",0.5,IF(G71="Blocked",0.25,0)))</x:f>
        <x:v>0</x:v>
      </x:c>
      <x:c r="J71" s="344" t="n">
        <x:f>'Setup'!$B$6+(B71*7)-1</x:f>
        <x:v>46320</x:v>
      </x:c>
      <x:c r="K71" s="345" t="str"/>
    </x:row>
    <x:row r="72" ht="38" customHeight="1">
      <x:c r="A72" s="267" t="str">
        <x:v>T068</x:v>
      </x:c>
      <x:c r="B72" s="267" t="n">
        <x:v>14</x:v>
      </x:c>
      <x:c r="C72" s="345" t="str">
        <x:v>Enterprise PL/SQL</x:v>
      </x:c>
      <x:c r="D72" s="345" t="str">
        <x:v>OPEN FOR dynamic queries</x:v>
      </x:c>
      <x:c r="E72" s="345" t="str">
        <x:v>Return a dynamic report cursor</x:v>
      </x:c>
      <x:c r="F72" s="345" t="str">
        <x:v>Important</x:v>
      </x:c>
      <x:c r="G72" s="345" t="str">
        <x:v>Not Started</x:v>
      </x:c>
      <x:c r="H72" s="345" t="str"/>
      <x:c r="I72" s="330" t="n">
        <x:f>IF(G72="Completed",1,IF(G72="In Progress",0.5,IF(G72="Blocked",0.25,0)))</x:f>
        <x:v>0</x:v>
      </x:c>
      <x:c r="J72" s="344" t="n">
        <x:f>'Setup'!$B$6+(B72*7)-1</x:f>
        <x:v>46320</x:v>
      </x:c>
      <x:c r="K72" s="345" t="str"/>
    </x:row>
    <x:row r="73" ht="38" customHeight="1">
      <x:c r="A73" s="267" t="str">
        <x:v>T069</x:v>
      </x:c>
      <x:c r="B73" s="267" t="n">
        <x:v>14</x:v>
      </x:c>
      <x:c r="C73" s="345" t="str">
        <x:v>Enterprise PL/SQL</x:v>
      </x:c>
      <x:c r="D73" s="345" t="str">
        <x:v>Bind variables</x:v>
      </x:c>
      <x:c r="E73" s="345" t="str">
        <x:v>Replace concatenated values with binds</x:v>
      </x:c>
      <x:c r="F73" s="345" t="str">
        <x:v>Core</x:v>
      </x:c>
      <x:c r="G73" s="345" t="str">
        <x:v>Not Started</x:v>
      </x:c>
      <x:c r="H73" s="345" t="str"/>
      <x:c r="I73" s="330" t="n">
        <x:f>IF(G73="Completed",1,IF(G73="In Progress",0.5,IF(G73="Blocked",0.25,0)))</x:f>
        <x:v>0</x:v>
      </x:c>
      <x:c r="J73" s="344" t="n">
        <x:f>'Setup'!$B$6+(B73*7)-1</x:f>
        <x:v>46320</x:v>
      </x:c>
      <x:c r="K73" s="345" t="str"/>
    </x:row>
    <x:row r="74" ht="38" customHeight="1">
      <x:c r="A74" s="267" t="str">
        <x:v>T070</x:v>
      </x:c>
      <x:c r="B74" s="267" t="n">
        <x:v>14</x:v>
      </x:c>
      <x:c r="C74" s="345" t="str">
        <x:v>Enterprise PL/SQL</x:v>
      </x:c>
      <x:c r="D74" s="345" t="str">
        <x:v>DBMS_ASSERT and SQL-injection defense</x:v>
      </x:c>
      <x:c r="E74" s="345" t="str">
        <x:v>Secure a dynamic identifier use case</x:v>
      </x:c>
      <x:c r="F74" s="345" t="str">
        <x:v>Core</x:v>
      </x:c>
      <x:c r="G74" s="345" t="str">
        <x:v>Not Started</x:v>
      </x:c>
      <x:c r="H74" s="345" t="str"/>
      <x:c r="I74" s="330" t="n">
        <x:f>IF(G74="Completed",1,IF(G74="In Progress",0.5,IF(G74="Blocked",0.25,0)))</x:f>
        <x:v>0</x:v>
      </x:c>
      <x:c r="J74" s="344" t="n">
        <x:f>'Setup'!$B$6+(B74*7)-1</x:f>
        <x:v>46320</x:v>
      </x:c>
      <x:c r="K74" s="345" t="str"/>
    </x:row>
    <x:row r="75" ht="38" customHeight="1">
      <x:c r="A75" s="267" t="str">
        <x:v>T071</x:v>
      </x:c>
      <x:c r="B75" s="267" t="n">
        <x:v>15</x:v>
      </x:c>
      <x:c r="C75" s="345" t="str">
        <x:v>Enterprise PL/SQL</x:v>
      </x:c>
      <x:c r="D75" s="345" t="str">
        <x:v>Object and system privileges</x:v>
      </x:c>
      <x:c r="E75" s="345" t="str">
        <x:v>Grant only the privileges required by the module</x:v>
      </x:c>
      <x:c r="F75" s="345" t="str">
        <x:v>Core</x:v>
      </x:c>
      <x:c r="G75" s="345" t="str">
        <x:v>Not Started</x:v>
      </x:c>
      <x:c r="H75" s="345" t="str"/>
      <x:c r="I75" s="330" t="n">
        <x:f>IF(G75="Completed",1,IF(G75="In Progress",0.5,IF(G75="Blocked",0.25,0)))</x:f>
        <x:v>0</x:v>
      </x:c>
      <x:c r="J75" s="344" t="n">
        <x:f>'Setup'!$B$6+(B75*7)-1</x:f>
        <x:v>46327</x:v>
      </x:c>
      <x:c r="K75" s="345" t="str"/>
    </x:row>
    <x:row r="76" ht="38" customHeight="1">
      <x:c r="A76" s="267" t="str">
        <x:v>T072</x:v>
      </x:c>
      <x:c r="B76" s="267" t="n">
        <x:v>15</x:v>
      </x:c>
      <x:c r="C76" s="345" t="str">
        <x:v>Enterprise PL/SQL</x:v>
      </x:c>
      <x:c r="D76" s="345" t="str">
        <x:v>Roles and least privilege</x:v>
      </x:c>
      <x:c r="E76" s="345" t="str">
        <x:v>Design separate runtime and owner responsibilities</x:v>
      </x:c>
      <x:c r="F76" s="345" t="str">
        <x:v>Core</x:v>
      </x:c>
      <x:c r="G76" s="345" t="str">
        <x:v>Not Started</x:v>
      </x:c>
      <x:c r="H76" s="345" t="str"/>
      <x:c r="I76" s="330" t="n">
        <x:f>IF(G76="Completed",1,IF(G76="In Progress",0.5,IF(G76="Blocked",0.25,0)))</x:f>
        <x:v>0</x:v>
      </x:c>
      <x:c r="J76" s="344" t="n">
        <x:f>'Setup'!$B$6+(B76*7)-1</x:f>
        <x:v>46327</x:v>
      </x:c>
      <x:c r="K76" s="345" t="str"/>
    </x:row>
    <x:row r="77" ht="38" customHeight="1">
      <x:c r="A77" s="267" t="str">
        <x:v>T073</x:v>
      </x:c>
      <x:c r="B77" s="267" t="n">
        <x:v>15</x:v>
      </x:c>
      <x:c r="C77" s="345" t="str">
        <x:v>Enterprise PL/SQL</x:v>
      </x:c>
      <x:c r="D77" s="345" t="str">
        <x:v>AUTHID DEFINER and CURRENT_USER</x:v>
      </x:c>
      <x:c r="E77" s="345" t="str">
        <x:v>Compare definer-rights and invoker-rights behavior</x:v>
      </x:c>
      <x:c r="F77" s="345" t="str">
        <x:v>Core</x:v>
      </x:c>
      <x:c r="G77" s="345" t="str">
        <x:v>Not Started</x:v>
      </x:c>
      <x:c r="H77" s="345" t="str"/>
      <x:c r="I77" s="330" t="n">
        <x:f>IF(G77="Completed",1,IF(G77="In Progress",0.5,IF(G77="Blocked",0.25,0)))</x:f>
        <x:v>0</x:v>
      </x:c>
      <x:c r="J77" s="344" t="n">
        <x:f>'Setup'!$B$6+(B77*7)-1</x:f>
        <x:v>46327</x:v>
      </x:c>
      <x:c r="K77" s="345" t="str"/>
    </x:row>
    <x:row r="78" ht="38" customHeight="1">
      <x:c r="A78" s="267" t="str">
        <x:v>T074</x:v>
      </x:c>
      <x:c r="B78" s="267" t="n">
        <x:v>15</x:v>
      </x:c>
      <x:c r="C78" s="345" t="str">
        <x:v>Enterprise PL/SQL</x:v>
      </x:c>
      <x:c r="D78" s="345" t="str">
        <x:v>ACCESSIBLE BY</x:v>
      </x:c>
      <x:c r="E78" s="345" t="str">
        <x:v>Restrict a helper package to its intended caller</x:v>
      </x:c>
      <x:c r="F78" s="345" t="str">
        <x:v>Important</x:v>
      </x:c>
      <x:c r="G78" s="345" t="str">
        <x:v>Not Started</x:v>
      </x:c>
      <x:c r="H78" s="345" t="str"/>
      <x:c r="I78" s="330" t="n">
        <x:f>IF(G78="Completed",1,IF(G78="In Progress",0.5,IF(G78="Blocked",0.25,0)))</x:f>
        <x:v>0</x:v>
      </x:c>
      <x:c r="J78" s="344" t="n">
        <x:f>'Setup'!$B$6+(B78*7)-1</x:f>
        <x:v>46327</x:v>
      </x:c>
      <x:c r="K78" s="345" t="str"/>
    </x:row>
    <x:row r="79" ht="38" customHeight="1">
      <x:c r="A79" s="267" t="str">
        <x:v>T075</x:v>
      </x:c>
      <x:c r="B79" s="267" t="n">
        <x:v>15</x:v>
      </x:c>
      <x:c r="C79" s="345" t="str">
        <x:v>Enterprise PL/SQL</x:v>
      </x:c>
      <x:c r="D79" s="345" t="str">
        <x:v>Secure package API</x:v>
      </x:c>
      <x:c r="E79" s="345" t="str">
        <x:v>Expose EXECUTE without direct table modification</x:v>
      </x:c>
      <x:c r="F79" s="345" t="str">
        <x:v>Core</x:v>
      </x:c>
      <x:c r="G79" s="345" t="str">
        <x:v>Not Started</x:v>
      </x:c>
      <x:c r="H79" s="345" t="str"/>
      <x:c r="I79" s="330" t="n">
        <x:f>IF(G79="Completed",1,IF(G79="In Progress",0.5,IF(G79="Blocked",0.25,0)))</x:f>
        <x:v>0</x:v>
      </x:c>
      <x:c r="J79" s="344" t="n">
        <x:f>'Setup'!$B$6+(B79*7)-1</x:f>
        <x:v>46327</x:v>
      </x:c>
      <x:c r="K79" s="345" t="str"/>
    </x:row>
    <x:row r="80" ht="38" customHeight="1">
      <x:c r="A80" s="267" t="str">
        <x:v>T076</x:v>
      </x:c>
      <x:c r="B80" s="267" t="n">
        <x:v>16</x:v>
      </x:c>
      <x:c r="C80" s="345" t="str">
        <x:v>Enterprise PL/SQL</x:v>
      </x:c>
      <x:c r="D80" s="345" t="str">
        <x:v>DBMS_SCHEDULER</x:v>
      </x:c>
      <x:c r="E80" s="345" t="str">
        <x:v>Create and monitor a scheduled low-stock job</x:v>
      </x:c>
      <x:c r="F80" s="345" t="str">
        <x:v>Core</x:v>
      </x:c>
      <x:c r="G80" s="345" t="str">
        <x:v>Not Started</x:v>
      </x:c>
      <x:c r="H80" s="345" t="str"/>
      <x:c r="I80" s="330" t="n">
        <x:f>IF(G80="Completed",1,IF(G80="In Progress",0.5,IF(G80="Blocked",0.25,0)))</x:f>
        <x:v>0</x:v>
      </x:c>
      <x:c r="J80" s="344" t="n">
        <x:f>'Setup'!$B$6+(B80*7)-1</x:f>
        <x:v>46334</x:v>
      </x:c>
      <x:c r="K80" s="345" t="str"/>
    </x:row>
    <x:row r="81" ht="38" customHeight="1">
      <x:c r="A81" s="267" t="str">
        <x:v>T077</x:v>
      </x:c>
      <x:c r="B81" s="267" t="n">
        <x:v>16</x:v>
      </x:c>
      <x:c r="C81" s="345" t="str">
        <x:v>Enterprise PL/SQL</x:v>
      </x:c>
      <x:c r="D81" s="345" t="str">
        <x:v>CLOB, BLOB and file handling</x:v>
      </x:c>
      <x:c r="E81" s="345" t="str">
        <x:v>Store and retrieve a controlled attachment</x:v>
      </x:c>
      <x:c r="F81" s="345" t="str">
        <x:v>Important</x:v>
      </x:c>
      <x:c r="G81" s="345" t="str">
        <x:v>Not Started</x:v>
      </x:c>
      <x:c r="H81" s="345" t="str"/>
      <x:c r="I81" s="330" t="n">
        <x:f>IF(G81="Completed",1,IF(G81="In Progress",0.5,IF(G81="Blocked",0.25,0)))</x:f>
        <x:v>0</x:v>
      </x:c>
      <x:c r="J81" s="344" t="n">
        <x:f>'Setup'!$B$6+(B81*7)-1</x:f>
        <x:v>46334</x:v>
      </x:c>
      <x:c r="K81" s="345" t="str"/>
    </x:row>
    <x:row r="82" ht="38" customHeight="1">
      <x:c r="A82" s="267" t="str">
        <x:v>T078</x:v>
      </x:c>
      <x:c r="B82" s="267" t="n">
        <x:v>16</x:v>
      </x:c>
      <x:c r="C82" s="345" t="str">
        <x:v>Enterprise PL/SQL</x:v>
      </x:c>
      <x:c r="D82" s="345" t="str">
        <x:v>JSON in SQL and PL/SQL</x:v>
      </x:c>
      <x:c r="E82" s="345" t="str">
        <x:v>Generate and parse an order payload</x:v>
      </x:c>
      <x:c r="F82" s="345" t="str">
        <x:v>Core</x:v>
      </x:c>
      <x:c r="G82" s="345" t="str">
        <x:v>Not Started</x:v>
      </x:c>
      <x:c r="H82" s="345" t="str"/>
      <x:c r="I82" s="330" t="n">
        <x:f>IF(G82="Completed",1,IF(G82="In Progress",0.5,IF(G82="Blocked",0.25,0)))</x:f>
        <x:v>0</x:v>
      </x:c>
      <x:c r="J82" s="344" t="n">
        <x:f>'Setup'!$B$6+(B82*7)-1</x:f>
        <x:v>46334</x:v>
      </x:c>
      <x:c r="K82" s="345" t="str"/>
    </x:row>
    <x:row r="83" ht="38" customHeight="1">
      <x:c r="A83" s="267" t="str">
        <x:v>T079</x:v>
      </x:c>
      <x:c r="B83" s="267" t="n">
        <x:v>16</x:v>
      </x:c>
      <x:c r="C83" s="345" t="str">
        <x:v>Enterprise PL/SQL</x:v>
      </x:c>
      <x:c r="D83" s="345" t="str">
        <x:v>REST and ORDS fundamentals</x:v>
      </x:c>
      <x:c r="E83" s="345" t="str">
        <x:v>Describe or expose a controlled REST operation</x:v>
      </x:c>
      <x:c r="F83" s="345" t="str">
        <x:v>Important</x:v>
      </x:c>
      <x:c r="G83" s="345" t="str">
        <x:v>Not Started</x:v>
      </x:c>
      <x:c r="H83" s="345" t="str"/>
      <x:c r="I83" s="330" t="n">
        <x:f>IF(G83="Completed",1,IF(G83="In Progress",0.5,IF(G83="Blocked",0.25,0)))</x:f>
        <x:v>0</x:v>
      </x:c>
      <x:c r="J83" s="344" t="n">
        <x:f>'Setup'!$B$6+(B83*7)-1</x:f>
        <x:v>46334</x:v>
      </x:c>
      <x:c r="K83" s="345" t="str"/>
    </x:row>
    <x:row r="84" ht="38" customHeight="1">
      <x:c r="A84" s="267" t="str">
        <x:v>T080</x:v>
      </x:c>
      <x:c r="B84" s="267" t="n">
        <x:v>16</x:v>
      </x:c>
      <x:c r="C84" s="345" t="str">
        <x:v>Enterprise PL/SQL</x:v>
      </x:c>
      <x:c r="D84" s="345" t="str">
        <x:v>Notification workflow</x:v>
      </x:c>
      <x:c r="E84" s="345" t="str">
        <x:v>Run a scheduled low-stock notification process</x:v>
      </x:c>
      <x:c r="F84" s="345" t="str">
        <x:v>Core</x:v>
      </x:c>
      <x:c r="G84" s="345" t="str">
        <x:v>Not Started</x:v>
      </x:c>
      <x:c r="H84" s="345" t="str"/>
      <x:c r="I84" s="330" t="n">
        <x:f>IF(G84="Completed",1,IF(G84="In Progress",0.5,IF(G84="Blocked",0.25,0)))</x:f>
        <x:v>0</x:v>
      </x:c>
      <x:c r="J84" s="344" t="n">
        <x:f>'Setup'!$B$6+(B84*7)-1</x:f>
        <x:v>46334</x:v>
      </x:c>
      <x:c r="K84" s="345" t="str"/>
    </x:row>
    <x:row r="85" ht="38" customHeight="1">
      <x:c r="A85" s="267" t="str">
        <x:v>T081</x:v>
      </x:c>
      <x:c r="B85" s="267" t="n">
        <x:v>17</x:v>
      </x:c>
      <x:c r="C85" s="345" t="str">
        <x:v>Production PL/SQL</x:v>
      </x:c>
      <x:c r="D85" s="345" t="str">
        <x:v>Oracle SQL processing and optimizer basics</x:v>
      </x:c>
      <x:c r="E85" s="345" t="str">
        <x:v>Explain parse, optimize and execute at a high level</x:v>
      </x:c>
      <x:c r="F85" s="345" t="str">
        <x:v>Core</x:v>
      </x:c>
      <x:c r="G85" s="345" t="str">
        <x:v>Not Started</x:v>
      </x:c>
      <x:c r="H85" s="345" t="str"/>
      <x:c r="I85" s="330" t="n">
        <x:f>IF(G85="Completed",1,IF(G85="In Progress",0.5,IF(G85="Blocked",0.25,0)))</x:f>
        <x:v>0</x:v>
      </x:c>
      <x:c r="J85" s="344" t="n">
        <x:f>'Setup'!$B$6+(B85*7)-1</x:f>
        <x:v>46341</x:v>
      </x:c>
      <x:c r="K85" s="345" t="str"/>
    </x:row>
    <x:row r="86" ht="38" customHeight="1">
      <x:c r="A86" s="267" t="str">
        <x:v>T082</x:v>
      </x:c>
      <x:c r="B86" s="267" t="n">
        <x:v>17</x:v>
      </x:c>
      <x:c r="C86" s="345" t="str">
        <x:v>Production PL/SQL</x:v>
      </x:c>
      <x:c r="D86" s="345" t="str">
        <x:v>EXPLAIN PLAN and DBMS_XPLAN</x:v>
      </x:c>
      <x:c r="E86" s="345" t="str">
        <x:v>Read access paths and row estimates</x:v>
      </x:c>
      <x:c r="F86" s="345" t="str">
        <x:v>Core</x:v>
      </x:c>
      <x:c r="G86" s="345" t="str">
        <x:v>Not Started</x:v>
      </x:c>
      <x:c r="H86" s="345" t="str"/>
      <x:c r="I86" s="330" t="n">
        <x:f>IF(G86="Completed",1,IF(G86="In Progress",0.5,IF(G86="Blocked",0.25,0)))</x:f>
        <x:v>0</x:v>
      </x:c>
      <x:c r="J86" s="344" t="n">
        <x:f>'Setup'!$B$6+(B86*7)-1</x:f>
        <x:v>46341</x:v>
      </x:c>
      <x:c r="K86" s="345" t="str"/>
    </x:row>
    <x:row r="87" ht="38" customHeight="1">
      <x:c r="A87" s="267" t="str">
        <x:v>T083</x:v>
      </x:c>
      <x:c r="B87" s="267" t="n">
        <x:v>17</x:v>
      </x:c>
      <x:c r="C87" s="345" t="str">
        <x:v>Production PL/SQL</x:v>
      </x:c>
      <x:c r="D87" s="345" t="str">
        <x:v>Indexes and access paths</x:v>
      </x:c>
      <x:c r="E87" s="345" t="str">
        <x:v>Compare a useful and an ineffective index</x:v>
      </x:c>
      <x:c r="F87" s="345" t="str">
        <x:v>Core</x:v>
      </x:c>
      <x:c r="G87" s="345" t="str">
        <x:v>Not Started</x:v>
      </x:c>
      <x:c r="H87" s="345" t="str"/>
      <x:c r="I87" s="330" t="n">
        <x:f>IF(G87="Completed",1,IF(G87="In Progress",0.5,IF(G87="Blocked",0.25,0)))</x:f>
        <x:v>0</x:v>
      </x:c>
      <x:c r="J87" s="344" t="n">
        <x:f>'Setup'!$B$6+(B87*7)-1</x:f>
        <x:v>46341</x:v>
      </x:c>
      <x:c r="K87" s="345" t="str"/>
    </x:row>
    <x:row r="88" ht="38" customHeight="1">
      <x:c r="A88" s="267" t="str">
        <x:v>T084</x:v>
      </x:c>
      <x:c r="B88" s="267" t="n">
        <x:v>17</x:v>
      </x:c>
      <x:c r="C88" s="345" t="str">
        <x:v>Production PL/SQL</x:v>
      </x:c>
      <x:c r="D88" s="345" t="str">
        <x:v>Implicit conversions and sargability</x:v>
      </x:c>
      <x:c r="E88" s="345" t="str">
        <x:v>Repair a query that blocks index usage</x:v>
      </x:c>
      <x:c r="F88" s="345" t="str">
        <x:v>Core</x:v>
      </x:c>
      <x:c r="G88" s="345" t="str">
        <x:v>Not Started</x:v>
      </x:c>
      <x:c r="H88" s="345" t="str"/>
      <x:c r="I88" s="330" t="n">
        <x:f>IF(G88="Completed",1,IF(G88="In Progress",0.5,IF(G88="Blocked",0.25,0)))</x:f>
        <x:v>0</x:v>
      </x:c>
      <x:c r="J88" s="344" t="n">
        <x:f>'Setup'!$B$6+(B88*7)-1</x:f>
        <x:v>46341</x:v>
      </x:c>
      <x:c r="K88" s="345" t="str"/>
    </x:row>
    <x:row r="89" ht="38" customHeight="1">
      <x:c r="A89" s="267" t="str">
        <x:v>T085</x:v>
      </x:c>
      <x:c r="B89" s="267" t="n">
        <x:v>17</x:v>
      </x:c>
      <x:c r="C89" s="345" t="str">
        <x:v>Production PL/SQL</x:v>
      </x:c>
      <x:c r="D89" s="345" t="str">
        <x:v>Measured SQL tuning</x:v>
      </x:c>
      <x:c r="E89" s="345" t="str">
        <x:v>Benchmark and improve one slow report</x:v>
      </x:c>
      <x:c r="F89" s="345" t="str">
        <x:v>Core</x:v>
      </x:c>
      <x:c r="G89" s="345" t="str">
        <x:v>Not Started</x:v>
      </x:c>
      <x:c r="H89" s="345" t="str"/>
      <x:c r="I89" s="330" t="n">
        <x:f>IF(G89="Completed",1,IF(G89="In Progress",0.5,IF(G89="Blocked",0.25,0)))</x:f>
        <x:v>0</x:v>
      </x:c>
      <x:c r="J89" s="344" t="n">
        <x:f>'Setup'!$B$6+(B89*7)-1</x:f>
        <x:v>46341</x:v>
      </x:c>
      <x:c r="K89" s="345" t="str"/>
    </x:row>
    <x:row r="90" ht="38" customHeight="1">
      <x:c r="A90" s="267" t="str">
        <x:v>T086</x:v>
      </x:c>
      <x:c r="B90" s="267" t="n">
        <x:v>18</x:v>
      </x:c>
      <x:c r="C90" s="345" t="str">
        <x:v>Production PL/SQL</x:v>
      </x:c>
      <x:c r="D90" s="345" t="str">
        <x:v>Set-based SQL before loops</x:v>
      </x:c>
      <x:c r="E90" s="345" t="str">
        <x:v>Replace a row-by-row operation with one SQL statement</x:v>
      </x:c>
      <x:c r="F90" s="345" t="str">
        <x:v>Core</x:v>
      </x:c>
      <x:c r="G90" s="345" t="str">
        <x:v>Not Started</x:v>
      </x:c>
      <x:c r="H90" s="345" t="str"/>
      <x:c r="I90" s="330" t="n">
        <x:f>IF(G90="Completed",1,IF(G90="In Progress",0.5,IF(G90="Blocked",0.25,0)))</x:f>
        <x:v>0</x:v>
      </x:c>
      <x:c r="J90" s="344" t="n">
        <x:f>'Setup'!$B$6+(B90*7)-1</x:f>
        <x:v>46348</x:v>
      </x:c>
      <x:c r="K90" s="345" t="str"/>
    </x:row>
    <x:row r="91" ht="38" customHeight="1">
      <x:c r="A91" s="267" t="str">
        <x:v>T087</x:v>
      </x:c>
      <x:c r="B91" s="267" t="n">
        <x:v>18</x:v>
      </x:c>
      <x:c r="C91" s="345" t="str">
        <x:v>Production PL/SQL</x:v>
      </x:c>
      <x:c r="D91" s="345" t="str">
        <x:v>BULK COLLECT and LIMIT</x:v>
      </x:c>
      <x:c r="E91" s="345" t="str">
        <x:v>Fetch a large result in controlled batches</x:v>
      </x:c>
      <x:c r="F91" s="345" t="str">
        <x:v>Core</x:v>
      </x:c>
      <x:c r="G91" s="345" t="str">
        <x:v>Not Started</x:v>
      </x:c>
      <x:c r="H91" s="345" t="str"/>
      <x:c r="I91" s="330" t="n">
        <x:f>IF(G91="Completed",1,IF(G91="In Progress",0.5,IF(G91="Blocked",0.25,0)))</x:f>
        <x:v>0</x:v>
      </x:c>
      <x:c r="J91" s="344" t="n">
        <x:f>'Setup'!$B$6+(B91*7)-1</x:f>
        <x:v>46348</x:v>
      </x:c>
      <x:c r="K91" s="345" t="str"/>
    </x:row>
    <x:row r="92" ht="38" customHeight="1">
      <x:c r="A92" s="267" t="str">
        <x:v>T088</x:v>
      </x:c>
      <x:c r="B92" s="267" t="n">
        <x:v>18</x:v>
      </x:c>
      <x:c r="C92" s="345" t="str">
        <x:v>Production PL/SQL</x:v>
      </x:c>
      <x:c r="D92" s="345" t="str">
        <x:v>FORALL</x:v>
      </x:c>
      <x:c r="E92" s="345" t="str">
        <x:v>Bulk insert or update a collection</x:v>
      </x:c>
      <x:c r="F92" s="345" t="str">
        <x:v>Core</x:v>
      </x:c>
      <x:c r="G92" s="345" t="str">
        <x:v>Not Started</x:v>
      </x:c>
      <x:c r="H92" s="345" t="str"/>
      <x:c r="I92" s="330" t="n">
        <x:f>IF(G92="Completed",1,IF(G92="In Progress",0.5,IF(G92="Blocked",0.25,0)))</x:f>
        <x:v>0</x:v>
      </x:c>
      <x:c r="J92" s="344" t="n">
        <x:f>'Setup'!$B$6+(B92*7)-1</x:f>
        <x:v>46348</x:v>
      </x:c>
      <x:c r="K92" s="345" t="str"/>
    </x:row>
    <x:row r="93" ht="38" customHeight="1">
      <x:c r="A93" s="267" t="str">
        <x:v>T089</x:v>
      </x:c>
      <x:c r="B93" s="267" t="n">
        <x:v>18</x:v>
      </x:c>
      <x:c r="C93" s="345" t="str">
        <x:v>Production PL/SQL</x:v>
      </x:c>
      <x:c r="D93" s="345" t="str">
        <x:v>SAVE EXCEPTIONS and SQL%BULK_EXCEPTIONS</x:v>
      </x:c>
      <x:c r="E93" s="345" t="str">
        <x:v>Report row-level bulk failures</x:v>
      </x:c>
      <x:c r="F93" s="345" t="str">
        <x:v>Core</x:v>
      </x:c>
      <x:c r="G93" s="345" t="str">
        <x:v>Not Started</x:v>
      </x:c>
      <x:c r="H93" s="345" t="str"/>
      <x:c r="I93" s="330" t="n">
        <x:f>IF(G93="Completed",1,IF(G93="In Progress",0.5,IF(G93="Blocked",0.25,0)))</x:f>
        <x:v>0</x:v>
      </x:c>
      <x:c r="J93" s="344" t="n">
        <x:f>'Setup'!$B$6+(B93*7)-1</x:f>
        <x:v>46348</x:v>
      </x:c>
      <x:c r="K93" s="345" t="str"/>
    </x:row>
    <x:row r="94" ht="38" customHeight="1">
      <x:c r="A94" s="267" t="str">
        <x:v>T090</x:v>
      </x:c>
      <x:c r="B94" s="267" t="n">
        <x:v>18</x:v>
      </x:c>
      <x:c r="C94" s="345" t="str">
        <x:v>Production PL/SQL</x:v>
      </x:c>
      <x:c r="D94" s="345" t="str">
        <x:v>Performance benchmark</x:v>
      </x:c>
      <x:c r="E94" s="345" t="str">
        <x:v>Compare elapsed time for loop and bulk versions</x:v>
      </x:c>
      <x:c r="F94" s="345" t="str">
        <x:v>Core</x:v>
      </x:c>
      <x:c r="G94" s="345" t="str">
        <x:v>Not Started</x:v>
      </x:c>
      <x:c r="H94" s="345" t="str"/>
      <x:c r="I94" s="330" t="n">
        <x:f>IF(G94="Completed",1,IF(G94="In Progress",0.5,IF(G94="Blocked",0.25,0)))</x:f>
        <x:v>0</x:v>
      </x:c>
      <x:c r="J94" s="344" t="n">
        <x:f>'Setup'!$B$6+(B94*7)-1</x:f>
        <x:v>46348</x:v>
      </x:c>
      <x:c r="K94" s="345" t="str"/>
    </x:row>
    <x:row r="95" ht="38" customHeight="1">
      <x:c r="A95" s="267" t="str">
        <x:v>T091</x:v>
      </x:c>
      <x:c r="B95" s="267" t="n">
        <x:v>19</x:v>
      </x:c>
      <x:c r="C95" s="345" t="str">
        <x:v>Production PL/SQL</x:v>
      </x:c>
      <x:c r="D95" s="345" t="str">
        <x:v>Unit-testing principles</x:v>
      </x:c>
      <x:c r="E95" s="345" t="str">
        <x:v>Define isolated and repeatable database tests</x:v>
      </x:c>
      <x:c r="F95" s="345" t="str">
        <x:v>Core</x:v>
      </x:c>
      <x:c r="G95" s="345" t="str">
        <x:v>Not Started</x:v>
      </x:c>
      <x:c r="H95" s="345" t="str"/>
      <x:c r="I95" s="330" t="n">
        <x:f>IF(G95="Completed",1,IF(G95="In Progress",0.5,IF(G95="Blocked",0.25,0)))</x:f>
        <x:v>0</x:v>
      </x:c>
      <x:c r="J95" s="344" t="n">
        <x:f>'Setup'!$B$6+(B95*7)-1</x:f>
        <x:v>46355</x:v>
      </x:c>
      <x:c r="K95" s="345" t="str"/>
    </x:row>
    <x:row r="96" ht="38" customHeight="1">
      <x:c r="A96" s="267" t="str">
        <x:v>T092</x:v>
      </x:c>
      <x:c r="B96" s="267" t="n">
        <x:v>19</x:v>
      </x:c>
      <x:c r="C96" s="345" t="str">
        <x:v>Production PL/SQL</x:v>
      </x:c>
      <x:c r="D96" s="345" t="str">
        <x:v>utPLSQL suite structure</x:v>
      </x:c>
      <x:c r="E96" s="345" t="str">
        <x:v>Create an annotated test package</x:v>
      </x:c>
      <x:c r="F96" s="345" t="str">
        <x:v>Core</x:v>
      </x:c>
      <x:c r="G96" s="345" t="str">
        <x:v>Not Started</x:v>
      </x:c>
      <x:c r="H96" s="345" t="str"/>
      <x:c r="I96" s="330" t="n">
        <x:f>IF(G96="Completed",1,IF(G96="In Progress",0.5,IF(G96="Blocked",0.25,0)))</x:f>
        <x:v>0</x:v>
      </x:c>
      <x:c r="J96" s="344" t="n">
        <x:f>'Setup'!$B$6+(B96*7)-1</x:f>
        <x:v>46355</x:v>
      </x:c>
      <x:c r="K96" s="345" t="str"/>
    </x:row>
    <x:row r="97" ht="38" customHeight="1">
      <x:c r="A97" s="267" t="str">
        <x:v>T093</x:v>
      </x:c>
      <x:c r="B97" s="267" t="n">
        <x:v>19</x:v>
      </x:c>
      <x:c r="C97" s="345" t="str">
        <x:v>Production PL/SQL</x:v>
      </x:c>
      <x:c r="D97" s="345" t="str">
        <x:v>Expectations and exception tests</x:v>
      </x:c>
      <x:c r="E97" s="345" t="str">
        <x:v>Verify output and expected failures</x:v>
      </x:c>
      <x:c r="F97" s="345" t="str">
        <x:v>Core</x:v>
      </x:c>
      <x:c r="G97" s="345" t="str">
        <x:v>Not Started</x:v>
      </x:c>
      <x:c r="H97" s="345" t="str"/>
      <x:c r="I97" s="330" t="n">
        <x:f>IF(G97="Completed",1,IF(G97="In Progress",0.5,IF(G97="Blocked",0.25,0)))</x:f>
        <x:v>0</x:v>
      </x:c>
      <x:c r="J97" s="344" t="n">
        <x:f>'Setup'!$B$6+(B97*7)-1</x:f>
        <x:v>46355</x:v>
      </x:c>
      <x:c r="K97" s="345" t="str"/>
    </x:row>
    <x:row r="98" ht="38" customHeight="1">
      <x:c r="A98" s="267" t="str">
        <x:v>T094</x:v>
      </x:c>
      <x:c r="B98" s="267" t="n">
        <x:v>19</x:v>
      </x:c>
      <x:c r="C98" s="345" t="str">
        <x:v>Production PL/SQL</x:v>
      </x:c>
      <x:c r="D98" s="345" t="str">
        <x:v>Fixtures and transaction control</x:v>
      </x:c>
      <x:c r="E98" s="345" t="str">
        <x:v>Prepare and clean deterministic test data</x:v>
      </x:c>
      <x:c r="F98" s="345" t="str">
        <x:v>Core</x:v>
      </x:c>
      <x:c r="G98" s="345" t="str">
        <x:v>Not Started</x:v>
      </x:c>
      <x:c r="H98" s="345" t="str"/>
      <x:c r="I98" s="330" t="n">
        <x:f>IF(G98="Completed",1,IF(G98="In Progress",0.5,IF(G98="Blocked",0.25,0)))</x:f>
        <x:v>0</x:v>
      </x:c>
      <x:c r="J98" s="344" t="n">
        <x:f>'Setup'!$B$6+(B98*7)-1</x:f>
        <x:v>46355</x:v>
      </x:c>
      <x:c r="K98" s="345" t="str"/>
    </x:row>
    <x:row r="99" ht="38" customHeight="1">
      <x:c r="A99" s="267" t="str">
        <x:v>T095</x:v>
      </x:c>
      <x:c r="B99" s="267" t="n">
        <x:v>19</x:v>
      </x:c>
      <x:c r="C99" s="345" t="str">
        <x:v>Production PL/SQL</x:v>
      </x:c>
      <x:c r="D99" s="345" t="str">
        <x:v>Coverage and regression suite</x:v>
      </x:c>
      <x:c r="E99" s="345" t="str">
        <x:v>Run a package suite and review coverage</x:v>
      </x:c>
      <x:c r="F99" s="345" t="str">
        <x:v>Important</x:v>
      </x:c>
      <x:c r="G99" s="345" t="str">
        <x:v>Not Started</x:v>
      </x:c>
      <x:c r="H99" s="345" t="str"/>
      <x:c r="I99" s="330" t="n">
        <x:f>IF(G99="Completed",1,IF(G99="In Progress",0.5,IF(G99="Blocked",0.25,0)))</x:f>
        <x:v>0</x:v>
      </x:c>
      <x:c r="J99" s="344" t="n">
        <x:f>'Setup'!$B$6+(B99*7)-1</x:f>
        <x:v>46355</x:v>
      </x:c>
      <x:c r="K99" s="345" t="str"/>
    </x:row>
    <x:row r="100" ht="38" customHeight="1">
      <x:c r="A100" s="267" t="str">
        <x:v>T096</x:v>
      </x:c>
      <x:c r="B100" s="267" t="n">
        <x:v>20</x:v>
      </x:c>
      <x:c r="C100" s="345" t="str">
        <x:v>Production PL/SQL</x:v>
      </x:c>
      <x:c r="D100" s="345" t="str">
        <x:v>Error stack, backtrace and call stack</x:v>
      </x:c>
      <x:c r="E100" s="345" t="str">
        <x:v>Preserve the original failure location</x:v>
      </x:c>
      <x:c r="F100" s="345" t="str">
        <x:v>Core</x:v>
      </x:c>
      <x:c r="G100" s="345" t="str">
        <x:v>Not Started</x:v>
      </x:c>
      <x:c r="H100" s="345" t="str"/>
      <x:c r="I100" s="330" t="n">
        <x:f>IF(G100="Completed",1,IF(G100="In Progress",0.5,IF(G100="Blocked",0.25,0)))</x:f>
        <x:v>0</x:v>
      </x:c>
      <x:c r="J100" s="344" t="n">
        <x:f>'Setup'!$B$6+(B100*7)-1</x:f>
        <x:v>46362</x:v>
      </x:c>
      <x:c r="K100" s="345" t="str"/>
    </x:row>
    <x:row r="101" ht="38" customHeight="1">
      <x:c r="A101" s="267" t="str">
        <x:v>T097</x:v>
      </x:c>
      <x:c r="B101" s="267" t="n">
        <x:v>20</x:v>
      </x:c>
      <x:c r="C101" s="345" t="str">
        <x:v>Production PL/SQL</x:v>
      </x:c>
      <x:c r="D101" s="345" t="str">
        <x:v>APEX_DEBUG and DBMS_APPLICATION_INFO</x:v>
      </x:c>
      <x:c r="E101" s="345" t="str">
        <x:v>Instrument a packaged operation</x:v>
      </x:c>
      <x:c r="F101" s="345" t="str">
        <x:v>Core</x:v>
      </x:c>
      <x:c r="G101" s="345" t="str">
        <x:v>Not Started</x:v>
      </x:c>
      <x:c r="H101" s="345" t="str"/>
      <x:c r="I101" s="330" t="n">
        <x:f>IF(G101="Completed",1,IF(G101="In Progress",0.5,IF(G101="Blocked",0.25,0)))</x:f>
        <x:v>0</x:v>
      </x:c>
      <x:c r="J101" s="344" t="n">
        <x:f>'Setup'!$B$6+(B101*7)-1</x:f>
        <x:v>46362</x:v>
      </x:c>
      <x:c r="K101" s="345" t="str"/>
    </x:row>
    <x:row r="102" ht="38" customHeight="1">
      <x:c r="A102" s="267" t="str">
        <x:v>T098</x:v>
      </x:c>
      <x:c r="B102" s="267" t="n">
        <x:v>20</x:v>
      </x:c>
      <x:c r="C102" s="345" t="str">
        <x:v>Production PL/SQL</x:v>
      </x:c>
      <x:c r="D102" s="345" t="str">
        <x:v>Compiler warnings and PL/Scope</x:v>
      </x:c>
      <x:c r="E102" s="345" t="str">
        <x:v>Find unused or risky code</x:v>
      </x:c>
      <x:c r="F102" s="345" t="str">
        <x:v>Important</x:v>
      </x:c>
      <x:c r="G102" s="345" t="str">
        <x:v>Not Started</x:v>
      </x:c>
      <x:c r="H102" s="345" t="str"/>
      <x:c r="I102" s="330" t="n">
        <x:f>IF(G102="Completed",1,IF(G102="In Progress",0.5,IF(G102="Blocked",0.25,0)))</x:f>
        <x:v>0</x:v>
      </x:c>
      <x:c r="J102" s="344" t="n">
        <x:f>'Setup'!$B$6+(B102*7)-1</x:f>
        <x:v>46362</x:v>
      </x:c>
      <x:c r="K102" s="345" t="str"/>
    </x:row>
    <x:row r="103" ht="38" customHeight="1">
      <x:c r="A103" s="267" t="str">
        <x:v>T099</x:v>
      </x:c>
      <x:c r="B103" s="267" t="n">
        <x:v>20</x:v>
      </x:c>
      <x:c r="C103" s="345" t="str">
        <x:v>Production PL/SQL</x:v>
      </x:c>
      <x:c r="D103" s="345" t="str">
        <x:v>Git and database source organization</x:v>
      </x:c>
      <x:c r="E103" s="345" t="str">
        <x:v>Commit repeatable object scripts</x:v>
      </x:c>
      <x:c r="F103" s="345" t="str">
        <x:v>Core</x:v>
      </x:c>
      <x:c r="G103" s="345" t="str">
        <x:v>Not Started</x:v>
      </x:c>
      <x:c r="H103" s="345" t="str"/>
      <x:c r="I103" s="330" t="n">
        <x:f>IF(G103="Completed",1,IF(G103="In Progress",0.5,IF(G103="Blocked",0.25,0)))</x:f>
        <x:v>0</x:v>
      </x:c>
      <x:c r="J103" s="344" t="n">
        <x:f>'Setup'!$B$6+(B103*7)-1</x:f>
        <x:v>46362</x:v>
      </x:c>
      <x:c r="K103" s="345" t="str"/>
    </x:row>
    <x:row r="104" ht="38" customHeight="1">
      <x:c r="A104" s="267" t="str">
        <x:v>T100</x:v>
      </x:c>
      <x:c r="B104" s="267" t="n">
        <x:v>20</x:v>
      </x:c>
      <x:c r="C104" s="345" t="str">
        <x:v>Production PL/SQL</x:v>
      </x:c>
      <x:c r="D104" s="345" t="str">
        <x:v>SQLcl, Liquibase and APEX exports</x:v>
      </x:c>
      <x:c r="E104" s="345" t="str">
        <x:v>Produce a repeatable release package</x:v>
      </x:c>
      <x:c r="F104" s="345" t="str">
        <x:v>Important</x:v>
      </x:c>
      <x:c r="G104" s="345" t="str">
        <x:v>Not Started</x:v>
      </x:c>
      <x:c r="H104" s="345" t="str"/>
      <x:c r="I104" s="330" t="n">
        <x:f>IF(G104="Completed",1,IF(G104="In Progress",0.5,IF(G104="Blocked",0.25,0)))</x:f>
        <x:v>0</x:v>
      </x:c>
      <x:c r="J104" s="344" t="n">
        <x:f>'Setup'!$B$6+(B104*7)-1</x:f>
        <x:v>46362</x:v>
      </x:c>
      <x:c r="K104" s="345" t="str"/>
    </x:row>
    <x:row r="105" ht="38" customHeight="1">
      <x:c r="A105" s="267" t="str">
        <x:v>T101</x:v>
      </x:c>
      <x:c r="B105" s="267" t="n">
        <x:v>21</x:v>
      </x:c>
      <x:c r="C105" s="345" t="str">
        <x:v>APEX Integration</x:v>
      </x:c>
      <x:c r="D105" s="345" t="str">
        <x:v>APEX render and submit lifecycle</x:v>
      </x:c>
      <x:c r="E105" s="345" t="str">
        <x:v>Trace a page request through processing</x:v>
      </x:c>
      <x:c r="F105" s="345" t="str">
        <x:v>Core</x:v>
      </x:c>
      <x:c r="G105" s="345" t="str">
        <x:v>Not Started</x:v>
      </x:c>
      <x:c r="H105" s="345" t="str"/>
      <x:c r="I105" s="330" t="n">
        <x:f>IF(G105="Completed",1,IF(G105="In Progress",0.5,IF(G105="Blocked",0.25,0)))</x:f>
        <x:v>0</x:v>
      </x:c>
      <x:c r="J105" s="344" t="n">
        <x:f>'Setup'!$B$6+(B105*7)-1</x:f>
        <x:v>46369</x:v>
      </x:c>
      <x:c r="K105" s="345" t="str"/>
    </x:row>
    <x:row r="106" ht="38" customHeight="1">
      <x:c r="A106" s="267" t="str">
        <x:v>T102</x:v>
      </x:c>
      <x:c r="B106" s="267" t="n">
        <x:v>21</x:v>
      </x:c>
      <x:c r="C106" s="345" t="str">
        <x:v>APEX Integration</x:v>
      </x:c>
      <x:c r="D106" s="345" t="str">
        <x:v>Page items and session state</x:v>
      </x:c>
      <x:c r="E106" s="345" t="str">
        <x:v>Inspect and clear session values</x:v>
      </x:c>
      <x:c r="F106" s="345" t="str">
        <x:v>Core</x:v>
      </x:c>
      <x:c r="G106" s="345" t="str">
        <x:v>Not Started</x:v>
      </x:c>
      <x:c r="H106" s="345" t="str"/>
      <x:c r="I106" s="330" t="n">
        <x:f>IF(G106="Completed",1,IF(G106="In Progress",0.5,IF(G106="Blocked",0.25,0)))</x:f>
        <x:v>0</x:v>
      </x:c>
      <x:c r="J106" s="344" t="n">
        <x:f>'Setup'!$B$6+(B106*7)-1</x:f>
        <x:v>46369</x:v>
      </x:c>
      <x:c r="K106" s="345" t="str"/>
    </x:row>
    <x:row r="107" ht="38" customHeight="1">
      <x:c r="A107" s="267" t="str">
        <x:v>T103</x:v>
      </x:c>
      <x:c r="B107" s="267" t="n">
        <x:v>21</x:v>
      </x:c>
      <x:c r="C107" s="345" t="str">
        <x:v>APEX Integration</x:v>
      </x:c>
      <x:c r="D107" s="345" t="str">
        <x:v>Bind variables versus substitution strings</x:v>
      </x:c>
      <x:c r="E107" s="345" t="str">
        <x:v>Use each syntax only in its safe context</x:v>
      </x:c>
      <x:c r="F107" s="345" t="str">
        <x:v>Core</x:v>
      </x:c>
      <x:c r="G107" s="345" t="str">
        <x:v>Not Started</x:v>
      </x:c>
      <x:c r="H107" s="345" t="str"/>
      <x:c r="I107" s="330" t="n">
        <x:f>IF(G107="Completed",1,IF(G107="In Progress",0.5,IF(G107="Blocked",0.25,0)))</x:f>
        <x:v>0</x:v>
      </x:c>
      <x:c r="J107" s="344" t="n">
        <x:f>'Setup'!$B$6+(B107*7)-1</x:f>
        <x:v>46369</x:v>
      </x:c>
      <x:c r="K107" s="345" t="str"/>
    </x:row>
    <x:row r="108" ht="38" customHeight="1">
      <x:c r="A108" s="267" t="str">
        <x:v>T104</x:v>
      </x:c>
      <x:c r="B108" s="267" t="n">
        <x:v>21</x:v>
      </x:c>
      <x:c r="C108" s="345" t="str">
        <x:v>APEX Integration</x:v>
      </x:c>
      <x:c r="D108" s="345" t="str">
        <x:v>Computations, validations and processes</x:v>
      </x:c>
      <x:c r="E108" s="345" t="str">
        <x:v>Build a correctly ordered submit flow</x:v>
      </x:c>
      <x:c r="F108" s="345" t="str">
        <x:v>Core</x:v>
      </x:c>
      <x:c r="G108" s="345" t="str">
        <x:v>Not Started</x:v>
      </x:c>
      <x:c r="H108" s="345" t="str"/>
      <x:c r="I108" s="330" t="n">
        <x:f>IF(G108="Completed",1,IF(G108="In Progress",0.5,IF(G108="Blocked",0.25,0)))</x:f>
        <x:v>0</x:v>
      </x:c>
      <x:c r="J108" s="344" t="n">
        <x:f>'Setup'!$B$6+(B108*7)-1</x:f>
        <x:v>46369</x:v>
      </x:c>
      <x:c r="K108" s="345" t="str"/>
    </x:row>
    <x:row r="109" ht="38" customHeight="1">
      <x:c r="A109" s="267" t="str">
        <x:v>T105</x:v>
      </x:c>
      <x:c r="B109" s="267" t="n">
        <x:v>21</x:v>
      </x:c>
      <x:c r="C109" s="345" t="str">
        <x:v>APEX Integration</x:v>
      </x:c>
      <x:c r="D109" s="345" t="str">
        <x:v>Conditions, branches and APEX debug</x:v>
      </x:c>
      <x:c r="E109" s="345" t="str">
        <x:v>Debug a conditional packaged process</x:v>
      </x:c>
      <x:c r="F109" s="345" t="str">
        <x:v>Core</x:v>
      </x:c>
      <x:c r="G109" s="345" t="str">
        <x:v>Not Started</x:v>
      </x:c>
      <x:c r="H109" s="345" t="str"/>
      <x:c r="I109" s="330" t="n">
        <x:f>IF(G109="Completed",1,IF(G109="In Progress",0.5,IF(G109="Blocked",0.25,0)))</x:f>
        <x:v>0</x:v>
      </x:c>
      <x:c r="J109" s="344" t="n">
        <x:f>'Setup'!$B$6+(B109*7)-1</x:f>
        <x:v>46369</x:v>
      </x:c>
      <x:c r="K109" s="345" t="str"/>
    </x:row>
    <x:row r="110" ht="38" customHeight="1">
      <x:c r="A110" s="267" t="str">
        <x:v>T106</x:v>
      </x:c>
      <x:c r="B110" s="267" t="n">
        <x:v>22</x:v>
      </x:c>
      <x:c r="C110" s="345" t="str">
        <x:v>APEX Integration</x:v>
      </x:c>
      <x:c r="D110" s="345" t="str">
        <x:v>Authentication and authorization</x:v>
      </x:c>
      <x:c r="E110" s="345" t="str">
        <x:v>Protect a page and business operation by role</x:v>
      </x:c>
      <x:c r="F110" s="345" t="str">
        <x:v>Core</x:v>
      </x:c>
      <x:c r="G110" s="345" t="str">
        <x:v>Not Started</x:v>
      </x:c>
      <x:c r="H110" s="345" t="str"/>
      <x:c r="I110" s="330" t="n">
        <x:f>IF(G110="Completed",1,IF(G110="In Progress",0.5,IF(G110="Blocked",0.25,0)))</x:f>
        <x:v>0</x:v>
      </x:c>
      <x:c r="J110" s="344" t="n">
        <x:f>'Setup'!$B$6+(B110*7)-1</x:f>
        <x:v>46376</x:v>
      </x:c>
      <x:c r="K110" s="345" t="str"/>
    </x:row>
    <x:row r="111" ht="38" customHeight="1">
      <x:c r="A111" s="267" t="str">
        <x:v>T107</x:v>
      </x:c>
      <x:c r="B111" s="267" t="n">
        <x:v>22</x:v>
      </x:c>
      <x:c r="C111" s="345" t="str">
        <x:v>APEX Integration</x:v>
      </x:c>
      <x:c r="D111" s="345" t="str">
        <x:v>Session State Protection and URL tampering</x:v>
      </x:c>
      <x:c r="E111" s="345" t="str">
        <x:v>Secure sensitive page items</x:v>
      </x:c>
      <x:c r="F111" s="345" t="str">
        <x:v>Core</x:v>
      </x:c>
      <x:c r="G111" s="345" t="str">
        <x:v>Not Started</x:v>
      </x:c>
      <x:c r="H111" s="345" t="str"/>
      <x:c r="I111" s="330" t="n">
        <x:f>IF(G111="Completed",1,IF(G111="In Progress",0.5,IF(G111="Blocked",0.25,0)))</x:f>
        <x:v>0</x:v>
      </x:c>
      <x:c r="J111" s="344" t="n">
        <x:f>'Setup'!$B$6+(B111*7)-1</x:f>
        <x:v>46376</x:v>
      </x:c>
      <x:c r="K111" s="345" t="str"/>
    </x:row>
    <x:row r="112" ht="38" customHeight="1">
      <x:c r="A112" s="267" t="str">
        <x:v>T108</x:v>
      </x:c>
      <x:c r="B112" s="267" t="n">
        <x:v>22</x:v>
      </x:c>
      <x:c r="C112" s="345" t="str">
        <x:v>APEX Integration</x:v>
      </x:c>
      <x:c r="D112" s="345" t="str">
        <x:v>Output escaping and APEX_ESCAPE</x:v>
      </x:c>
      <x:c r="E112" s="345" t="str">
        <x:v>Prevent an intentional XSS payload</x:v>
      </x:c>
      <x:c r="F112" s="345" t="str">
        <x:v>Core</x:v>
      </x:c>
      <x:c r="G112" s="345" t="str">
        <x:v>Not Started</x:v>
      </x:c>
      <x:c r="H112" s="345" t="str"/>
      <x:c r="I112" s="330" t="n">
        <x:f>IF(G112="Completed",1,IF(G112="In Progress",0.5,IF(G112="Blocked",0.25,0)))</x:f>
        <x:v>0</x:v>
      </x:c>
      <x:c r="J112" s="344" t="n">
        <x:f>'Setup'!$B$6+(B112*7)-1</x:f>
        <x:v>46376</x:v>
      </x:c>
      <x:c r="K112" s="345" t="str"/>
    </x:row>
    <x:row r="113" ht="38" customHeight="1">
      <x:c r="A113" s="267" t="str">
        <x:v>T109</x:v>
      </x:c>
      <x:c r="B113" s="267" t="n">
        <x:v>22</x:v>
      </x:c>
      <x:c r="C113" s="345" t="str">
        <x:v>APEX Integration</x:v>
      </x:c>
      <x:c r="D113" s="345" t="str">
        <x:v>APEX_ERROR and APEX_DEBUG</x:v>
      </x:c>
      <x:c r="E113" s="345" t="str">
        <x:v>Display safe errors and capture diagnostic context</x:v>
      </x:c>
      <x:c r="F113" s="345" t="str">
        <x:v>Core</x:v>
      </x:c>
      <x:c r="G113" s="345" t="str">
        <x:v>Not Started</x:v>
      </x:c>
      <x:c r="H113" s="345" t="str"/>
      <x:c r="I113" s="330" t="n">
        <x:f>IF(G113="Completed",1,IF(G113="In Progress",0.5,IF(G113="Blocked",0.25,0)))</x:f>
        <x:v>0</x:v>
      </x:c>
      <x:c r="J113" s="344" t="n">
        <x:f>'Setup'!$B$6+(B113*7)-1</x:f>
        <x:v>46376</x:v>
      </x:c>
      <x:c r="K113" s="345" t="str"/>
    </x:row>
    <x:row r="114" ht="38" customHeight="1">
      <x:c r="A114" s="267" t="str">
        <x:v>T110</x:v>
      </x:c>
      <x:c r="B114" s="267" t="n">
        <x:v>22</x:v>
      </x:c>
      <x:c r="C114" s="345" t="str">
        <x:v>APEX Integration</x:v>
      </x:c>
      <x:c r="D114" s="345" t="str">
        <x:v>APEX collections, JSON and web services</x:v>
      </x:c>
      <x:c r="E114" s="345" t="str">
        <x:v>Build one temporary or integration workflow</x:v>
      </x:c>
      <x:c r="F114" s="345" t="str">
        <x:v>Important</x:v>
      </x:c>
      <x:c r="G114" s="345" t="str">
        <x:v>Not Started</x:v>
      </x:c>
      <x:c r="H114" s="345" t="str"/>
      <x:c r="I114" s="330" t="n">
        <x:f>IF(G114="Completed",1,IF(G114="In Progress",0.5,IF(G114="Blocked",0.25,0)))</x:f>
        <x:v>0</x:v>
      </x:c>
      <x:c r="J114" s="344" t="n">
        <x:f>'Setup'!$B$6+(B114*7)-1</x:f>
        <x:v>46376</x:v>
      </x:c>
      <x:c r="K114" s="345" t="str"/>
    </x:row>
    <x:row r="115" ht="38" customHeight="1">
      <x:c r="A115" s="267" t="str">
        <x:v>T111</x:v>
      </x:c>
      <x:c r="B115" s="267" t="n">
        <x:v>23</x:v>
      </x:c>
      <x:c r="C115" s="345" t="str">
        <x:v>Capstone</x:v>
      </x:c>
      <x:c r="D115" s="345" t="str">
        <x:v>Capstone requirements and use cases</x:v>
      </x:c>
      <x:c r="E115" s="345" t="str">
        <x:v>Write actors, workflows and acceptance criteria</x:v>
      </x:c>
      <x:c r="F115" s="345" t="str">
        <x:v>Core</x:v>
      </x:c>
      <x:c r="G115" s="345" t="str">
        <x:v>Not Started</x:v>
      </x:c>
      <x:c r="H115" s="345" t="str"/>
      <x:c r="I115" s="330" t="n">
        <x:f>IF(G115="Completed",1,IF(G115="In Progress",0.5,IF(G115="Blocked",0.25,0)))</x:f>
        <x:v>0</x:v>
      </x:c>
      <x:c r="J115" s="344" t="n">
        <x:f>'Setup'!$B$6+(B115*7)-1</x:f>
        <x:v>46383</x:v>
      </x:c>
      <x:c r="K115" s="345" t="str"/>
    </x:row>
    <x:row r="116" ht="38" customHeight="1">
      <x:c r="A116" s="267" t="str">
        <x:v>T112</x:v>
      </x:c>
      <x:c r="B116" s="267" t="n">
        <x:v>23</x:v>
      </x:c>
      <x:c r="C116" s="345" t="str">
        <x:v>Capstone</x:v>
      </x:c>
      <x:c r="D116" s="345" t="str">
        <x:v>Capstone ERD and constraints</x:v>
      </x:c>
      <x:c r="E116" s="345" t="str">
        <x:v>Finalize normalized schema and integrity rules</x:v>
      </x:c>
      <x:c r="F116" s="345" t="str">
        <x:v>Core</x:v>
      </x:c>
      <x:c r="G116" s="345" t="str">
        <x:v>Not Started</x:v>
      </x:c>
      <x:c r="H116" s="345" t="str"/>
      <x:c r="I116" s="330" t="n">
        <x:f>IF(G116="Completed",1,IF(G116="In Progress",0.5,IF(G116="Blocked",0.25,0)))</x:f>
        <x:v>0</x:v>
      </x:c>
      <x:c r="J116" s="344" t="n">
        <x:f>'Setup'!$B$6+(B116*7)-1</x:f>
        <x:v>46383</x:v>
      </x:c>
      <x:c r="K116" s="345" t="str"/>
    </x:row>
    <x:row r="117" ht="38" customHeight="1">
      <x:c r="A117" s="267" t="str">
        <x:v>T113</x:v>
      </x:c>
      <x:c r="B117" s="267" t="n">
        <x:v>23</x:v>
      </x:c>
      <x:c r="C117" s="345" t="str">
        <x:v>Capstone</x:v>
      </x:c>
      <x:c r="D117" s="345" t="str">
        <x:v>Package contracts and architecture</x:v>
      </x:c>
      <x:c r="E117" s="345" t="str">
        <x:v>Define public APIs before implementation</x:v>
      </x:c>
      <x:c r="F117" s="345" t="str">
        <x:v>Core</x:v>
      </x:c>
      <x:c r="G117" s="345" t="str">
        <x:v>Not Started</x:v>
      </x:c>
      <x:c r="H117" s="345" t="str"/>
      <x:c r="I117" s="330" t="n">
        <x:f>IF(G117="Completed",1,IF(G117="In Progress",0.5,IF(G117="Blocked",0.25,0)))</x:f>
        <x:v>0</x:v>
      </x:c>
      <x:c r="J117" s="344" t="n">
        <x:f>'Setup'!$B$6+(B117*7)-1</x:f>
        <x:v>46383</x:v>
      </x:c>
      <x:c r="K117" s="345" t="str"/>
    </x:row>
    <x:row r="118" ht="38" customHeight="1">
      <x:c r="A118" s="267" t="str">
        <x:v>T114</x:v>
      </x:c>
      <x:c r="B118" s="267" t="n">
        <x:v>23</x:v>
      </x:c>
      <x:c r="C118" s="345" t="str">
        <x:v>Capstone</x:v>
      </x:c>
      <x:c r="D118" s="345" t="str">
        <x:v>Roles and authorization matrix</x:v>
      </x:c>
      <x:c r="E118" s="345" t="str">
        <x:v>Map each feature to an authorized role</x:v>
      </x:c>
      <x:c r="F118" s="345" t="str">
        <x:v>Core</x:v>
      </x:c>
      <x:c r="G118" s="345" t="str">
        <x:v>Not Started</x:v>
      </x:c>
      <x:c r="H118" s="345" t="str"/>
      <x:c r="I118" s="330" t="n">
        <x:f>IF(G118="Completed",1,IF(G118="In Progress",0.5,IF(G118="Blocked",0.25,0)))</x:f>
        <x:v>0</x:v>
      </x:c>
      <x:c r="J118" s="344" t="n">
        <x:f>'Setup'!$B$6+(B118*7)-1</x:f>
        <x:v>46383</x:v>
      </x:c>
      <x:c r="K118" s="345" t="str"/>
    </x:row>
    <x:row r="119" ht="38" customHeight="1">
      <x:c r="A119" s="267" t="str">
        <x:v>T115</x:v>
      </x:c>
      <x:c r="B119" s="267" t="n">
        <x:v>23</x:v>
      </x:c>
      <x:c r="C119" s="345" t="str">
        <x:v>Capstone</x:v>
      </x:c>
      <x:c r="D119" s="345" t="str">
        <x:v>Repository, migrations and seed data</x:v>
      </x:c>
      <x:c r="E119" s="345" t="str">
        <x:v>Create repeatable initial deployment</x:v>
      </x:c>
      <x:c r="F119" s="345" t="str">
        <x:v>Core</x:v>
      </x:c>
      <x:c r="G119" s="345" t="str">
        <x:v>Not Started</x:v>
      </x:c>
      <x:c r="H119" s="345" t="str"/>
      <x:c r="I119" s="330" t="n">
        <x:f>IF(G119="Completed",1,IF(G119="In Progress",0.5,IF(G119="Blocked",0.25,0)))</x:f>
        <x:v>0</x:v>
      </x:c>
      <x:c r="J119" s="344" t="n">
        <x:f>'Setup'!$B$6+(B119*7)-1</x:f>
        <x:v>46383</x:v>
      </x:c>
      <x:c r="K119" s="345" t="str"/>
    </x:row>
    <x:row r="120" ht="38" customHeight="1">
      <x:c r="A120" s="267" t="str">
        <x:v>T116</x:v>
      </x:c>
      <x:c r="B120" s="267" t="n">
        <x:v>24</x:v>
      </x:c>
      <x:c r="C120" s="345" t="str">
        <x:v>Capstone</x:v>
      </x:c>
      <x:c r="D120" s="345" t="str">
        <x:v>Product and inventory APIs</x:v>
      </x:c>
      <x:c r="E120" s="345" t="str">
        <x:v>Implement tested inventory operations</x:v>
      </x:c>
      <x:c r="F120" s="345" t="str">
        <x:v>Core</x:v>
      </x:c>
      <x:c r="G120" s="345" t="str">
        <x:v>Not Started</x:v>
      </x:c>
      <x:c r="H120" s="345" t="str"/>
      <x:c r="I120" s="330" t="n">
        <x:f>IF(G120="Completed",1,IF(G120="In Progress",0.5,IF(G120="Blocked",0.25,0)))</x:f>
        <x:v>0</x:v>
      </x:c>
      <x:c r="J120" s="344" t="n">
        <x:f>'Setup'!$B$6+(B120*7)-1</x:f>
        <x:v>46390</x:v>
      </x:c>
      <x:c r="K120" s="345" t="str"/>
    </x:row>
    <x:row r="121" ht="38" customHeight="1">
      <x:c r="A121" s="267" t="str">
        <x:v>T117</x:v>
      </x:c>
      <x:c r="B121" s="267" t="n">
        <x:v>24</x:v>
      </x:c>
      <x:c r="C121" s="345" t="str">
        <x:v>Capstone</x:v>
      </x:c>
      <x:c r="D121" s="345" t="str">
        <x:v>Order API and status workflow</x:v>
      </x:c>
      <x:c r="E121" s="345" t="str">
        <x:v>Enforce valid order transitions</x:v>
      </x:c>
      <x:c r="F121" s="345" t="str">
        <x:v>Core</x:v>
      </x:c>
      <x:c r="G121" s="345" t="str">
        <x:v>Not Started</x:v>
      </x:c>
      <x:c r="H121" s="345" t="str"/>
      <x:c r="I121" s="330" t="n">
        <x:f>IF(G121="Completed",1,IF(G121="In Progress",0.5,IF(G121="Blocked",0.25,0)))</x:f>
        <x:v>0</x:v>
      </x:c>
      <x:c r="J121" s="344" t="n">
        <x:f>'Setup'!$B$6+(B121*7)-1</x:f>
        <x:v>46390</x:v>
      </x:c>
      <x:c r="K121" s="345" t="str"/>
    </x:row>
    <x:row r="122" ht="38" customHeight="1">
      <x:c r="A122" s="267" t="str">
        <x:v>T118</x:v>
      </x:c>
      <x:c r="B122" s="267" t="n">
        <x:v>24</x:v>
      </x:c>
      <x:c r="C122" s="345" t="str">
        <x:v>Capstone</x:v>
      </x:c>
      <x:c r="D122" s="345" t="str">
        <x:v>Concurrency-safe stock reservation</x:v>
      </x:c>
      <x:c r="E122" s="345" t="str">
        <x:v>Pass a two-session last-item test</x:v>
      </x:c>
      <x:c r="F122" s="345" t="str">
        <x:v>Core</x:v>
      </x:c>
      <x:c r="G122" s="345" t="str">
        <x:v>Not Started</x:v>
      </x:c>
      <x:c r="H122" s="345" t="str"/>
      <x:c r="I122" s="330" t="n">
        <x:f>IF(G122="Completed",1,IF(G122="In Progress",0.5,IF(G122="Blocked",0.25,0)))</x:f>
        <x:v>0</x:v>
      </x:c>
      <x:c r="J122" s="344" t="n">
        <x:f>'Setup'!$B$6+(B122*7)-1</x:f>
        <x:v>46390</x:v>
      </x:c>
      <x:c r="K122" s="345" t="str"/>
    </x:row>
    <x:row r="123" ht="38" customHeight="1">
      <x:c r="A123" s="267" t="str">
        <x:v>T119</x:v>
      </x:c>
      <x:c r="B123" s="267" t="n">
        <x:v>24</x:v>
      </x:c>
      <x:c r="C123" s="345" t="str">
        <x:v>Capstone</x:v>
      </x:c>
      <x:c r="D123" s="345" t="str">
        <x:v>APEX master-detail pages</x:v>
      </x:c>
      <x:c r="E123" s="345" t="str">
        <x:v>Complete product, stock and order flows</x:v>
      </x:c>
      <x:c r="F123" s="345" t="str">
        <x:v>Core</x:v>
      </x:c>
      <x:c r="G123" s="345" t="str">
        <x:v>Not Started</x:v>
      </x:c>
      <x:c r="H123" s="345" t="str"/>
      <x:c r="I123" s="330" t="n">
        <x:f>IF(G123="Completed",1,IF(G123="In Progress",0.5,IF(G123="Blocked",0.25,0)))</x:f>
        <x:v>0</x:v>
      </x:c>
      <x:c r="J123" s="344" t="n">
        <x:f>'Setup'!$B$6+(B123*7)-1</x:f>
        <x:v>46390</x:v>
      </x:c>
      <x:c r="K123" s="345" t="str"/>
    </x:row>
    <x:row r="124" ht="38" customHeight="1">
      <x:c r="A124" s="267" t="str">
        <x:v>T120</x:v>
      </x:c>
      <x:c r="B124" s="267" t="n">
        <x:v>24</x:v>
      </x:c>
      <x:c r="C124" s="345" t="str">
        <x:v>Capstone</x:v>
      </x:c>
      <x:c r="D124" s="345" t="str">
        <x:v>Core package tests and error logging</x:v>
      </x:c>
      <x:c r="E124" s="345" t="str">
        <x:v>Automate happy and failure paths</x:v>
      </x:c>
      <x:c r="F124" s="345" t="str">
        <x:v>Core</x:v>
      </x:c>
      <x:c r="G124" s="345" t="str">
        <x:v>Not Started</x:v>
      </x:c>
      <x:c r="H124" s="345" t="str"/>
      <x:c r="I124" s="330" t="n">
        <x:f>IF(G124="Completed",1,IF(G124="In Progress",0.5,IF(G124="Blocked",0.25,0)))</x:f>
        <x:v>0</x:v>
      </x:c>
      <x:c r="J124" s="344" t="n">
        <x:f>'Setup'!$B$6+(B124*7)-1</x:f>
        <x:v>46390</x:v>
      </x:c>
      <x:c r="K124" s="345" t="str"/>
    </x:row>
    <x:row r="125" ht="38" customHeight="1">
      <x:c r="A125" s="267" t="str">
        <x:v>T121</x:v>
      </x:c>
      <x:c r="B125" s="267" t="n">
        <x:v>25</x:v>
      </x:c>
      <x:c r="C125" s="345" t="str">
        <x:v>Capstone</x:v>
      </x:c>
      <x:c r="D125" s="345" t="str">
        <x:v>Dashboard and analytic reports</x:v>
      </x:c>
      <x:c r="E125" s="345" t="str">
        <x:v>Show inventory, sales and operational KPIs</x:v>
      </x:c>
      <x:c r="F125" s="345" t="str">
        <x:v>Core</x:v>
      </x:c>
      <x:c r="G125" s="345" t="str">
        <x:v>Not Started</x:v>
      </x:c>
      <x:c r="H125" s="345" t="str"/>
      <x:c r="I125" s="330" t="n">
        <x:f>IF(G125="Completed",1,IF(G125="In Progress",0.5,IF(G125="Blocked",0.25,0)))</x:f>
        <x:v>0</x:v>
      </x:c>
      <x:c r="J125" s="344" t="n">
        <x:f>'Setup'!$B$6+(B125*7)-1</x:f>
        <x:v>46397</x:v>
      </x:c>
      <x:c r="K125" s="345" t="str"/>
    </x:row>
    <x:row r="126" ht="38" customHeight="1">
      <x:c r="A126" s="267" t="str">
        <x:v>T122</x:v>
      </x:c>
      <x:c r="B126" s="267" t="n">
        <x:v>25</x:v>
      </x:c>
      <x:c r="C126" s="345" t="str">
        <x:v>Capstone</x:v>
      </x:c>
      <x:c r="D126" s="345" t="str">
        <x:v>Bulk CSV import</x:v>
      </x:c>
      <x:c r="E126" s="345" t="str">
        <x:v>Validate and import a controlled batch</x:v>
      </x:c>
      <x:c r="F126" s="345" t="str">
        <x:v>Important</x:v>
      </x:c>
      <x:c r="G126" s="345" t="str">
        <x:v>Not Started</x:v>
      </x:c>
      <x:c r="H126" s="345" t="str"/>
      <x:c r="I126" s="330" t="n">
        <x:f>IF(G126="Completed",1,IF(G126="In Progress",0.5,IF(G126="Blocked",0.25,0)))</x:f>
        <x:v>0</x:v>
      </x:c>
      <x:c r="J126" s="344" t="n">
        <x:f>'Setup'!$B$6+(B126*7)-1</x:f>
        <x:v>46397</x:v>
      </x:c>
      <x:c r="K126" s="345" t="str"/>
    </x:row>
    <x:row r="127" ht="38" customHeight="1">
      <x:c r="A127" s="267" t="str">
        <x:v>T123</x:v>
      </x:c>
      <x:c r="B127" s="267" t="n">
        <x:v>25</x:v>
      </x:c>
      <x:c r="C127" s="345" t="str">
        <x:v>Capstone</x:v>
      </x:c>
      <x:c r="D127" s="345" t="str">
        <x:v>Secure file attachments</x:v>
      </x:c>
      <x:c r="E127" s="345" t="str">
        <x:v>Upload, authorize and retrieve a file</x:v>
      </x:c>
      <x:c r="F127" s="345" t="str">
        <x:v>Important</x:v>
      </x:c>
      <x:c r="G127" s="345" t="str">
        <x:v>Not Started</x:v>
      </x:c>
      <x:c r="H127" s="345" t="str"/>
      <x:c r="I127" s="330" t="n">
        <x:f>IF(G127="Completed",1,IF(G127="In Progress",0.5,IF(G127="Blocked",0.25,0)))</x:f>
        <x:v>0</x:v>
      </x:c>
      <x:c r="J127" s="344" t="n">
        <x:f>'Setup'!$B$6+(B127*7)-1</x:f>
        <x:v>46397</x:v>
      </x:c>
      <x:c r="K127" s="345" t="str"/>
    </x:row>
    <x:row r="128" ht="38" customHeight="1">
      <x:c r="A128" s="267" t="str">
        <x:v>T124</x:v>
      </x:c>
      <x:c r="B128" s="267" t="n">
        <x:v>25</x:v>
      </x:c>
      <x:c r="C128" s="345" t="str">
        <x:v>Capstone</x:v>
      </x:c>
      <x:c r="D128" s="345" t="str">
        <x:v>Scheduler, email and REST integration</x:v>
      </x:c>
      <x:c r="E128" s="345" t="str">
        <x:v>Complete one reliable automated integration</x:v>
      </x:c>
      <x:c r="F128" s="345" t="str">
        <x:v>Core</x:v>
      </x:c>
      <x:c r="G128" s="345" t="str">
        <x:v>Not Started</x:v>
      </x:c>
      <x:c r="H128" s="345" t="str"/>
      <x:c r="I128" s="330" t="n">
        <x:f>IF(G128="Completed",1,IF(G128="In Progress",0.5,IF(G128="Blocked",0.25,0)))</x:f>
        <x:v>0</x:v>
      </x:c>
      <x:c r="J128" s="344" t="n">
        <x:f>'Setup'!$B$6+(B128*7)-1</x:f>
        <x:v>46397</x:v>
      </x:c>
      <x:c r="K128" s="345" t="str"/>
    </x:row>
    <x:row r="129" ht="38" customHeight="1">
      <x:c r="A129" s="267" t="str">
        <x:v>T125</x:v>
      </x:c>
      <x:c r="B129" s="267" t="n">
        <x:v>25</x:v>
      </x:c>
      <x:c r="C129" s="345" t="str">
        <x:v>Capstone</x:v>
      </x:c>
      <x:c r="D129" s="345" t="str">
        <x:v>Security and performance review</x:v>
      </x:c>
      <x:c r="E129" s="345" t="str">
        <x:v>Resolve Advisor and measured performance findings</x:v>
      </x:c>
      <x:c r="F129" s="345" t="str">
        <x:v>Core</x:v>
      </x:c>
      <x:c r="G129" s="345" t="str">
        <x:v>Not Started</x:v>
      </x:c>
      <x:c r="H129" s="345" t="str"/>
      <x:c r="I129" s="330" t="n">
        <x:f>IF(G129="Completed",1,IF(G129="In Progress",0.5,IF(G129="Blocked",0.25,0)))</x:f>
        <x:v>0</x:v>
      </x:c>
      <x:c r="J129" s="344" t="n">
        <x:f>'Setup'!$B$6+(B129*7)-1</x:f>
        <x:v>46397</x:v>
      </x:c>
      <x:c r="K129" s="345" t="str"/>
    </x:row>
    <x:row r="130" ht="38" customHeight="1">
      <x:c r="A130" s="267" t="str">
        <x:v>T126</x:v>
      </x:c>
      <x:c r="B130" s="267" t="n">
        <x:v>26</x:v>
      </x:c>
      <x:c r="C130" s="345" t="str">
        <x:v>Capstone</x:v>
      </x:c>
      <x:c r="D130" s="345" t="str">
        <x:v>Final performance benchmark</x:v>
      </x:c>
      <x:c r="E130" s="345" t="str">
        <x:v>Record before-and-after evidence</x:v>
      </x:c>
      <x:c r="F130" s="345" t="str">
        <x:v>Core</x:v>
      </x:c>
      <x:c r="G130" s="345" t="str">
        <x:v>Not Started</x:v>
      </x:c>
      <x:c r="H130" s="345" t="str"/>
      <x:c r="I130" s="330" t="n">
        <x:f>IF(G130="Completed",1,IF(G130="In Progress",0.5,IF(G130="Blocked",0.25,0)))</x:f>
        <x:v>0</x:v>
      </x:c>
      <x:c r="J130" s="344" t="n">
        <x:f>'Setup'!$B$6+(B130*7)-1</x:f>
        <x:v>46404</x:v>
      </x:c>
      <x:c r="K130" s="345" t="str"/>
    </x:row>
    <x:row r="131" ht="38" customHeight="1">
      <x:c r="A131" s="267" t="str">
        <x:v>T127</x:v>
      </x:c>
      <x:c r="B131" s="267" t="n">
        <x:v>26</x:v>
      </x:c>
      <x:c r="C131" s="345" t="str">
        <x:v>Capstone</x:v>
      </x:c>
      <x:c r="D131" s="345" t="str">
        <x:v>Full utPLSQL regression run</x:v>
      </x:c>
      <x:c r="E131" s="345" t="str">
        <x:v>Finish with zero unexpected failures</x:v>
      </x:c>
      <x:c r="F131" s="345" t="str">
        <x:v>Core</x:v>
      </x:c>
      <x:c r="G131" s="345" t="str">
        <x:v>Not Started</x:v>
      </x:c>
      <x:c r="H131" s="345" t="str"/>
      <x:c r="I131" s="330" t="n">
        <x:f>IF(G131="Completed",1,IF(G131="In Progress",0.5,IF(G131="Blocked",0.25,0)))</x:f>
        <x:v>0</x:v>
      </x:c>
      <x:c r="J131" s="344" t="n">
        <x:f>'Setup'!$B$6+(B131*7)-1</x:f>
        <x:v>46404</x:v>
      </x:c>
      <x:c r="K131" s="345" t="str"/>
    </x:row>
    <x:row r="132" ht="38" customHeight="1">
      <x:c r="A132" s="267" t="str">
        <x:v>T128</x:v>
      </x:c>
      <x:c r="B132" s="267" t="n">
        <x:v>26</x:v>
      </x:c>
      <x:c r="C132" s="345" t="str">
        <x:v>Capstone</x:v>
      </x:c>
      <x:c r="D132" s="345" t="str">
        <x:v>APEX Advisor and debug review</x:v>
      </x:c>
      <x:c r="E132" s="345" t="str">
        <x:v>Resolve material quality and security findings</x:v>
      </x:c>
      <x:c r="F132" s="345" t="str">
        <x:v>Core</x:v>
      </x:c>
      <x:c r="G132" s="345" t="str">
        <x:v>Not Started</x:v>
      </x:c>
      <x:c r="H132" s="345" t="str"/>
      <x:c r="I132" s="330" t="n">
        <x:f>IF(G132="Completed",1,IF(G132="In Progress",0.5,IF(G132="Blocked",0.25,0)))</x:f>
        <x:v>0</x:v>
      </x:c>
      <x:c r="J132" s="344" t="n">
        <x:f>'Setup'!$B$6+(B132*7)-1</x:f>
        <x:v>46404</x:v>
      </x:c>
      <x:c r="K132" s="345" t="str"/>
    </x:row>
    <x:row r="133" ht="38" customHeight="1">
      <x:c r="A133" s="267" t="str">
        <x:v>T129</x:v>
      </x:c>
      <x:c r="B133" s="267" t="n">
        <x:v>26</x:v>
      </x:c>
      <x:c r="C133" s="345" t="str">
        <x:v>Capstone</x:v>
      </x:c>
      <x:c r="D133" s="345" t="str">
        <x:v>Deployment and source export</x:v>
      </x:c>
      <x:c r="E133" s="345" t="str">
        <x:v>Install successfully into a clean environment</x:v>
      </x:c>
      <x:c r="F133" s="345" t="str">
        <x:v>Core</x:v>
      </x:c>
      <x:c r="G133" s="345" t="str">
        <x:v>Not Started</x:v>
      </x:c>
      <x:c r="H133" s="345" t="str"/>
      <x:c r="I133" s="330" t="n">
        <x:f>IF(G133="Completed",1,IF(G133="In Progress",0.5,IF(G133="Blocked",0.25,0)))</x:f>
        <x:v>0</x:v>
      </x:c>
      <x:c r="J133" s="344" t="n">
        <x:f>'Setup'!$B$6+(B133*7)-1</x:f>
        <x:v>46404</x:v>
      </x:c>
      <x:c r="K133" s="345" t="str"/>
    </x:row>
    <x:row r="134" ht="38" customHeight="1">
      <x:c r="A134" s="267" t="str">
        <x:v>T130</x:v>
      </x:c>
      <x:c r="B134" s="267" t="n">
        <x:v>26</x:v>
      </x:c>
      <x:c r="C134" s="345" t="str">
        <x:v>Capstone</x:v>
      </x:c>
      <x:c r="D134" s="345" t="str">
        <x:v>Documentation and portfolio demo</x:v>
      </x:c>
      <x:c r="E134" s="345" t="str">
        <x:v>Publish ERD, README, screenshots and demo story</x:v>
      </x:c>
      <x:c r="F134" s="345" t="str">
        <x:v>Core</x:v>
      </x:c>
      <x:c r="G134" s="345" t="str">
        <x:v>Not Started</x:v>
      </x:c>
      <x:c r="H134" s="345" t="str"/>
      <x:c r="I134" s="330" t="n">
        <x:f>IF(G134="Completed",1,IF(G134="In Progress",0.5,IF(G134="Blocked",0.25,0)))</x:f>
        <x:v>0</x:v>
      </x:c>
      <x:c r="J134" s="344" t="n">
        <x:f>'Setup'!$B$6+(B134*7)-1</x:f>
        <x:v>46404</x:v>
      </x:c>
      <x:c r="K134" s="345" t="str"/>
    </x:row>
  </x:sheetData>
  <x:mergeCells>
    <x:mergeCell ref="A1:K2"/>
    <x:mergeCell ref="A3:K3"/>
  </x:mergeCells>
  <x:conditionalFormatting sqref="G5:G134">
    <x:cfRule type="containsText" dxfId="16" priority="1" operator="containsText" text="Completed"/>
    <x:cfRule type="containsText" dxfId="17" priority="2" operator="containsText" text="In Progress"/>
    <x:cfRule type="containsText" dxfId="18" priority="3" operator="containsText" text="Active"/>
    <x:cfRule type="containsText" dxfId="19" priority="4" operator="containsText" text="Blocked"/>
    <x:cfRule type="containsText" dxfId="20" priority="5" operator="containsText" text="Behind"/>
    <x:cfRule type="containsText" dxfId="21" priority="6" operator="containsText" text="Not Started"/>
    <x:cfRule type="containsText" dxfId="22" priority="7" operator="containsText" text="Upcoming"/>
    <x:cfRule type="containsText" dxfId="23" priority="8" operator="containsText" text="Partial"/>
  </x:conditionalFormatting>
  <x:conditionalFormatting sqref="I5:I134">
    <x:cfRule type="dataBar" priority="9">
      <x:dataBar>
        <x:cfvo type="min"/>
        <x:cfvo type="max"/>
        <x:color rgb="FF16A34A"/>
      </x:dataBar>
      <x:extLst>
        <x:ext xmlns:x14="http://schemas.microsoft.com/office/spreadsheetml/2009/9/main" uri="{B025F937-C7B1-47D3-B67F-A62EFF666E3E}">
          <x14:id>{3B7EFA49-9E81-27E2-45A3-6F3F54105C72}</x14:id>
        </x:ext>
      </x:extLst>
    </x:cfRule>
  </x:conditionalFormatting>
  <x:conditionalFormatting sqref="F5:F134">
    <x:cfRule type="containsText" dxfId="24" priority="10" operator="containsText" text="Core"/>
    <x:cfRule type="containsText" dxfId="25" priority="11" operator="containsText" text="Important"/>
  </x:conditionalFormatting>
  <x:dataValidations count="2">
    <x:dataValidation type="list" sqref="G5:G134">
      <x:formula1>"Not Started,In Progress,Blocked,Completed"</x:formula1>
    </x:dataValidation>
    <x:dataValidation type="list" sqref="F5:F134">
      <x:formula1>"Core,Important,Advanced"</x:formula1>
    </x:dataValidation>
  </x:dataValidations>
  <x:pageMargins left="0.7" right="0.7" top="0.75" bottom="0.75" header="0.3" footer="0.3"/>
  <x:tableParts count="1">
    <x:tablePart xmlns:r="http://schemas.openxmlformats.org/officeDocument/2006/relationships" r:id="R997d0cd289de4f68"/>
  </x:tableParts>
  <x:extLst>
    <x:ext xmlns:x14="http://schemas.microsoft.com/office/spreadsheetml/2009/9/main" xmlns:xm="http://schemas.microsoft.com/office/excel/2006/main" uri="{78C0D931-6437-407d-A8EE-F0AAD7539E65}">
      <x14:conditionalFormattings>
        <x14:conditionalFormatting>
          <x14:cfRule type="dataBar" priority="9" id="{3B7EFA49-9E81-27E2-45A3-6F3F54105C72}">
            <x14:dataBar gradient="1">
              <x14:cfvo type="min"/>
              <x14:cfvo type="max"/>
              <x14:fillColor rgb="FF16A34A"/>
            </x14:dataBar>
          </x14:cfRule>
          <xm:sqref>I5:I134</xm:sqref>
        </x14:conditionalFormatting>
      </x14:conditionalFormattings>
    </x:ext>
  </x:extLst>
</x:worksheet>
</file>

<file path=xl/worksheets/sheet4.xml><?xml version="1.0" encoding="utf-8"?>
<x:worksheet xmlns:x="http://schemas.openxmlformats.org/spreadsheetml/2006/main">
  <x:sheetViews>
    <x:sheetView showGridLines="0" workbookViewId="0"/>
  </x:sheetViews>
  <x:sheetFormatPr defaultRowHeight="15"/>
  <x:cols>
    <x:col min="1" max="1" width="13" hidden="0" customWidth="1"/>
    <x:col min="2" max="2" width="8" hidden="0" customWidth="1"/>
    <x:col min="3" max="3" width="18" hidden="0" customWidth="1"/>
    <x:col min="4" max="4" width="31" hidden="0" customWidth="1"/>
    <x:col min="5" max="5" width="48" hidden="0" customWidth="1"/>
    <x:col min="6" max="6" width="10" hidden="0" customWidth="1"/>
    <x:col min="7" max="7" width="10" hidden="0" customWidth="1"/>
    <x:col min="8" max="8" width="13" hidden="0" customWidth="1"/>
    <x:col min="9" max="9" width="32" hidden="0" customWidth="1"/>
    <x:col min="10" max="10" width="43" hidden="0" customWidth="1"/>
  </x:cols>
  <x:sheetData>
    <x:row r="1" ht="30" customHeight="1">
      <x:c r="A1" s="359" t="str">
        <x:v>Practice Log</x:v>
      </x:c>
      <x:c r="B1" s="359" t="str">
        <x:v>Practice Log</x:v>
      </x:c>
      <x:c r="C1" s="359" t="str">
        <x:v>Practice Log</x:v>
      </x:c>
      <x:c r="D1" s="359" t="str">
        <x:v>Practice Log</x:v>
      </x:c>
      <x:c r="E1" s="359" t="str">
        <x:v>Practice Log</x:v>
      </x:c>
      <x:c r="F1" s="359" t="str">
        <x:v>Practice Log</x:v>
      </x:c>
      <x:c r="G1" s="359" t="str">
        <x:v>Practice Log</x:v>
      </x:c>
      <x:c r="H1" s="359" t="str">
        <x:v>Practice Log</x:v>
      </x:c>
      <x:c r="I1" s="359" t="str">
        <x:v>Practice Log</x:v>
      </x:c>
      <x:c r="J1" s="359" t="str">
        <x:v>Practice Log</x:v>
      </x:c>
    </x:row>
    <x:row r="2" ht="30" customHeight="1">
      <x:c r="A2" s="359" t="str">
        <x:v>Practice Log</x:v>
      </x:c>
      <x:c r="B2" s="359" t="str">
        <x:v>Practice Log</x:v>
      </x:c>
      <x:c r="C2" s="359" t="str">
        <x:v>Practice Log</x:v>
      </x:c>
      <x:c r="D2" s="359" t="str">
        <x:v>Practice Log</x:v>
      </x:c>
      <x:c r="E2" s="359" t="str">
        <x:v>Practice Log</x:v>
      </x:c>
      <x:c r="F2" s="359" t="str">
        <x:v>Practice Log</x:v>
      </x:c>
      <x:c r="G2" s="359" t="str">
        <x:v>Practice Log</x:v>
      </x:c>
      <x:c r="H2" s="359" t="str">
        <x:v>Practice Log</x:v>
      </x:c>
      <x:c r="I2" s="359" t="str">
        <x:v>Practice Log</x:v>
      </x:c>
      <x:c r="J2" s="359" t="str">
        <x:v>Practice Log</x:v>
      </x:c>
    </x:row>
    <x:row r="3" ht="22" customHeight="1">
      <x:c r="A3" s="266" t="str">
        <x:v>Add one row for every study, coding, debugging or review session. Week and hours calculate automatically.</x:v>
      </x:c>
      <x:c r="B3" s="266" t="str">
        <x:v>Add one row for every study, coding, debugging or review session. Week and hours calculate automatically.</x:v>
      </x:c>
      <x:c r="C3" s="266" t="str">
        <x:v>Add one row for every study, coding, debugging or review session. Week and hours calculate automatically.</x:v>
      </x:c>
      <x:c r="D3" s="266" t="str">
        <x:v>Add one row for every study, coding, debugging or review session. Week and hours calculate automatically.</x:v>
      </x:c>
      <x:c r="E3" s="266" t="str">
        <x:v>Add one row for every study, coding, debugging or review session. Week and hours calculate automatically.</x:v>
      </x:c>
      <x:c r="F3" s="266" t="str">
        <x:v>Add one row for every study, coding, debugging or review session. Week and hours calculate automatically.</x:v>
      </x:c>
      <x:c r="G3" s="266" t="str">
        <x:v>Add one row for every study, coding, debugging or review session. Week and hours calculate automatically.</x:v>
      </x:c>
      <x:c r="H3" s="266" t="str">
        <x:v>Add one row for every study, coding, debugging or review session. Week and hours calculate automatically.</x:v>
      </x:c>
      <x:c r="I3" s="266" t="str">
        <x:v>Add one row for every study, coding, debugging or review session. Week and hours calculate automatically.</x:v>
      </x:c>
      <x:c r="J3" s="266" t="str">
        <x:v>Add one row for every study, coding, debugging or review session. Week and hours calculate automatically.</x:v>
      </x:c>
    </x:row>
    <x:row r="4">
      <x:c r="A4" s="360" t="str">
        <x:v>Date</x:v>
      </x:c>
      <x:c r="B4" s="361" t="str">
        <x:v>Week</x:v>
      </x:c>
      <x:c r="C4" s="361" t="str">
        <x:v>Session Type</x:v>
      </x:c>
      <x:c r="D4" s="361" t="str">
        <x:v>Topic</x:v>
      </x:c>
      <x:c r="E4" s="361" t="str">
        <x:v>What I Did</x:v>
      </x:c>
      <x:c r="F4" s="361" t="str">
        <x:v>Minutes</x:v>
      </x:c>
      <x:c r="G4" s="361" t="str">
        <x:v>Hours</x:v>
      </x:c>
      <x:c r="H4" s="361" t="str">
        <x:v>Result</x:v>
      </x:c>
      <x:c r="I4" s="361" t="str">
        <x:v>Evidence / Link</x:v>
      </x:c>
      <x:c r="J4" s="362" t="str">
        <x:v>Lesson or Blocker</x:v>
      </x:c>
    </x:row>
    <x:row r="5">
      <x:c r="A5" s="344"/>
      <x:c r="B5" s="267" t="str">
        <x:f>IF(A5="","",MAX(1,MIN('Setup'!$B$8,INT((A5-'Setup'!$B$6)/7)+1)))</x:f>
      </x:c>
      <x:c r="C5" s="345" t="str"/>
      <x:c r="D5" s="345" t="str"/>
      <x:c r="E5" s="345" t="str"/>
      <x:c r="F5" s="349"/>
      <x:c r="G5" s="350" t="str">
        <x:f>IF(F5="","",F5/60)</x:f>
      </x:c>
      <x:c r="H5" s="267" t="str"/>
      <x:c r="I5" s="345" t="str"/>
      <x:c r="J5" s="345" t="str"/>
    </x:row>
    <x:row r="6">
      <x:c r="A6" s="344"/>
      <x:c r="B6" s="267" t="str">
        <x:f>IF(A6="","",MAX(1,MIN('Setup'!$B$8,INT((A6-'Setup'!$B$6)/7)+1)))</x:f>
      </x:c>
      <x:c r="C6" s="345" t="str"/>
      <x:c r="D6" s="345" t="str"/>
      <x:c r="E6" s="345" t="str"/>
      <x:c r="F6" s="349"/>
      <x:c r="G6" s="350" t="str">
        <x:f>IF(F6="","",F6/60)</x:f>
      </x:c>
      <x:c r="H6" s="267" t="str"/>
      <x:c r="I6" s="345" t="str"/>
      <x:c r="J6" s="345" t="str"/>
    </x:row>
    <x:row r="7">
      <x:c r="A7" s="344"/>
      <x:c r="B7" s="267" t="str">
        <x:f>IF(A7="","",MAX(1,MIN('Setup'!$B$8,INT((A7-'Setup'!$B$6)/7)+1)))</x:f>
      </x:c>
      <x:c r="C7" s="345" t="str"/>
      <x:c r="D7" s="345" t="str"/>
      <x:c r="E7" s="345" t="str"/>
      <x:c r="F7" s="349"/>
      <x:c r="G7" s="350" t="str">
        <x:f>IF(F7="","",F7/60)</x:f>
      </x:c>
      <x:c r="H7" s="267" t="str"/>
      <x:c r="I7" s="345" t="str"/>
      <x:c r="J7" s="345" t="str"/>
    </x:row>
    <x:row r="8">
      <x:c r="A8" s="344"/>
      <x:c r="B8" s="267" t="str">
        <x:f>IF(A8="","",MAX(1,MIN('Setup'!$B$8,INT((A8-'Setup'!$B$6)/7)+1)))</x:f>
      </x:c>
      <x:c r="C8" s="345" t="str"/>
      <x:c r="D8" s="345" t="str"/>
      <x:c r="E8" s="345" t="str"/>
      <x:c r="F8" s="349"/>
      <x:c r="G8" s="350" t="str">
        <x:f>IF(F8="","",F8/60)</x:f>
      </x:c>
      <x:c r="H8" s="267" t="str"/>
      <x:c r="I8" s="345" t="str"/>
      <x:c r="J8" s="345" t="str"/>
    </x:row>
    <x:row r="9">
      <x:c r="A9" s="344"/>
      <x:c r="B9" s="267" t="str">
        <x:f>IF(A9="","",MAX(1,MIN('Setup'!$B$8,INT((A9-'Setup'!$B$6)/7)+1)))</x:f>
      </x:c>
      <x:c r="C9" s="345" t="str"/>
      <x:c r="D9" s="345" t="str"/>
      <x:c r="E9" s="345" t="str"/>
      <x:c r="F9" s="349"/>
      <x:c r="G9" s="350" t="str">
        <x:f>IF(F9="","",F9/60)</x:f>
      </x:c>
      <x:c r="H9" s="267" t="str"/>
      <x:c r="I9" s="345" t="str"/>
      <x:c r="J9" s="345" t="str"/>
    </x:row>
    <x:row r="10">
      <x:c r="A10" s="344"/>
      <x:c r="B10" s="267" t="str">
        <x:f>IF(A10="","",MAX(1,MIN('Setup'!$B$8,INT((A10-'Setup'!$B$6)/7)+1)))</x:f>
      </x:c>
      <x:c r="C10" s="345" t="str"/>
      <x:c r="D10" s="345" t="str"/>
      <x:c r="E10" s="345" t="str"/>
      <x:c r="F10" s="349"/>
      <x:c r="G10" s="350" t="str">
        <x:f>IF(F10="","",F10/60)</x:f>
      </x:c>
      <x:c r="H10" s="267" t="str"/>
      <x:c r="I10" s="345" t="str"/>
      <x:c r="J10" s="345" t="str"/>
    </x:row>
    <x:row r="11">
      <x:c r="A11" s="344"/>
      <x:c r="B11" s="267" t="str">
        <x:f>IF(A11="","",MAX(1,MIN('Setup'!$B$8,INT((A11-'Setup'!$B$6)/7)+1)))</x:f>
      </x:c>
      <x:c r="C11" s="345" t="str"/>
      <x:c r="D11" s="345" t="str"/>
      <x:c r="E11" s="345" t="str"/>
      <x:c r="F11" s="349"/>
      <x:c r="G11" s="350" t="str">
        <x:f>IF(F11="","",F11/60)</x:f>
      </x:c>
      <x:c r="H11" s="267" t="str"/>
      <x:c r="I11" s="345" t="str"/>
      <x:c r="J11" s="345" t="str"/>
    </x:row>
    <x:row r="12">
      <x:c r="A12" s="344"/>
      <x:c r="B12" s="267" t="str">
        <x:f>IF(A12="","",MAX(1,MIN('Setup'!$B$8,INT((A12-'Setup'!$B$6)/7)+1)))</x:f>
      </x:c>
      <x:c r="C12" s="345" t="str"/>
      <x:c r="D12" s="345" t="str"/>
      <x:c r="E12" s="345" t="str"/>
      <x:c r="F12" s="349"/>
      <x:c r="G12" s="350" t="str">
        <x:f>IF(F12="","",F12/60)</x:f>
      </x:c>
      <x:c r="H12" s="267" t="str"/>
      <x:c r="I12" s="345" t="str"/>
      <x:c r="J12" s="345" t="str"/>
    </x:row>
    <x:row r="13">
      <x:c r="A13" s="344"/>
      <x:c r="B13" s="267" t="str">
        <x:f>IF(A13="","",MAX(1,MIN('Setup'!$B$8,INT((A13-'Setup'!$B$6)/7)+1)))</x:f>
      </x:c>
      <x:c r="C13" s="345" t="str"/>
      <x:c r="D13" s="345" t="str"/>
      <x:c r="E13" s="345" t="str"/>
      <x:c r="F13" s="349"/>
      <x:c r="G13" s="350" t="str">
        <x:f>IF(F13="","",F13/60)</x:f>
      </x:c>
      <x:c r="H13" s="267" t="str"/>
      <x:c r="I13" s="345" t="str"/>
      <x:c r="J13" s="345" t="str"/>
    </x:row>
    <x:row r="14">
      <x:c r="A14" s="344"/>
      <x:c r="B14" s="267" t="str">
        <x:f>IF(A14="","",MAX(1,MIN('Setup'!$B$8,INT((A14-'Setup'!$B$6)/7)+1)))</x:f>
      </x:c>
      <x:c r="C14" s="345" t="str"/>
      <x:c r="D14" s="345" t="str"/>
      <x:c r="E14" s="345" t="str"/>
      <x:c r="F14" s="349"/>
      <x:c r="G14" s="350" t="str">
        <x:f>IF(F14="","",F14/60)</x:f>
      </x:c>
      <x:c r="H14" s="267" t="str"/>
      <x:c r="I14" s="345" t="str"/>
      <x:c r="J14" s="345" t="str"/>
    </x:row>
    <x:row r="15">
      <x:c r="A15" s="344"/>
      <x:c r="B15" s="267" t="str">
        <x:f>IF(A15="","",MAX(1,MIN('Setup'!$B$8,INT((A15-'Setup'!$B$6)/7)+1)))</x:f>
      </x:c>
      <x:c r="C15" s="345" t="str"/>
      <x:c r="D15" s="345" t="str"/>
      <x:c r="E15" s="345" t="str"/>
      <x:c r="F15" s="349"/>
      <x:c r="G15" s="350" t="str">
        <x:f>IF(F15="","",F15/60)</x:f>
      </x:c>
      <x:c r="H15" s="267" t="str"/>
      <x:c r="I15" s="345" t="str"/>
      <x:c r="J15" s="345" t="str"/>
    </x:row>
    <x:row r="16">
      <x:c r="A16" s="344"/>
      <x:c r="B16" s="267" t="str">
        <x:f>IF(A16="","",MAX(1,MIN('Setup'!$B$8,INT((A16-'Setup'!$B$6)/7)+1)))</x:f>
      </x:c>
      <x:c r="C16" s="345" t="str"/>
      <x:c r="D16" s="345" t="str"/>
      <x:c r="E16" s="345" t="str"/>
      <x:c r="F16" s="349"/>
      <x:c r="G16" s="350" t="str">
        <x:f>IF(F16="","",F16/60)</x:f>
      </x:c>
      <x:c r="H16" s="267" t="str"/>
      <x:c r="I16" s="345" t="str"/>
      <x:c r="J16" s="345" t="str"/>
    </x:row>
    <x:row r="17">
      <x:c r="A17" s="344"/>
      <x:c r="B17" s="267" t="str">
        <x:f>IF(A17="","",MAX(1,MIN('Setup'!$B$8,INT((A17-'Setup'!$B$6)/7)+1)))</x:f>
      </x:c>
      <x:c r="C17" s="345" t="str"/>
      <x:c r="D17" s="345" t="str"/>
      <x:c r="E17" s="345" t="str"/>
      <x:c r="F17" s="349"/>
      <x:c r="G17" s="350" t="str">
        <x:f>IF(F17="","",F17/60)</x:f>
      </x:c>
      <x:c r="H17" s="267" t="str"/>
      <x:c r="I17" s="345" t="str"/>
      <x:c r="J17" s="345" t="str"/>
    </x:row>
    <x:row r="18">
      <x:c r="A18" s="344"/>
      <x:c r="B18" s="267" t="str">
        <x:f>IF(A18="","",MAX(1,MIN('Setup'!$B$8,INT((A18-'Setup'!$B$6)/7)+1)))</x:f>
      </x:c>
      <x:c r="C18" s="345" t="str"/>
      <x:c r="D18" s="345" t="str"/>
      <x:c r="E18" s="345" t="str"/>
      <x:c r="F18" s="349"/>
      <x:c r="G18" s="350" t="str">
        <x:f>IF(F18="","",F18/60)</x:f>
      </x:c>
      <x:c r="H18" s="267" t="str"/>
      <x:c r="I18" s="345" t="str"/>
      <x:c r="J18" s="345" t="str"/>
    </x:row>
    <x:row r="19">
      <x:c r="A19" s="344"/>
      <x:c r="B19" s="267" t="str">
        <x:f>IF(A19="","",MAX(1,MIN('Setup'!$B$8,INT((A19-'Setup'!$B$6)/7)+1)))</x:f>
      </x:c>
      <x:c r="C19" s="345" t="str"/>
      <x:c r="D19" s="345" t="str"/>
      <x:c r="E19" s="345" t="str"/>
      <x:c r="F19" s="349"/>
      <x:c r="G19" s="350" t="str">
        <x:f>IF(F19="","",F19/60)</x:f>
      </x:c>
      <x:c r="H19" s="267" t="str"/>
      <x:c r="I19" s="345" t="str"/>
      <x:c r="J19" s="345" t="str"/>
    </x:row>
    <x:row r="20">
      <x:c r="A20" s="344"/>
      <x:c r="B20" s="267" t="str">
        <x:f>IF(A20="","",MAX(1,MIN('Setup'!$B$8,INT((A20-'Setup'!$B$6)/7)+1)))</x:f>
      </x:c>
      <x:c r="C20" s="345" t="str"/>
      <x:c r="D20" s="345" t="str"/>
      <x:c r="E20" s="345" t="str"/>
      <x:c r="F20" s="349"/>
      <x:c r="G20" s="350" t="str">
        <x:f>IF(F20="","",F20/60)</x:f>
      </x:c>
      <x:c r="H20" s="267" t="str"/>
      <x:c r="I20" s="345" t="str"/>
      <x:c r="J20" s="345" t="str"/>
    </x:row>
    <x:row r="21">
      <x:c r="A21" s="344"/>
      <x:c r="B21" s="267" t="str">
        <x:f>IF(A21="","",MAX(1,MIN('Setup'!$B$8,INT((A21-'Setup'!$B$6)/7)+1)))</x:f>
      </x:c>
      <x:c r="C21" s="345" t="str"/>
      <x:c r="D21" s="345" t="str"/>
      <x:c r="E21" s="345" t="str"/>
      <x:c r="F21" s="349"/>
      <x:c r="G21" s="350" t="str">
        <x:f>IF(F21="","",F21/60)</x:f>
      </x:c>
      <x:c r="H21" s="267" t="str"/>
      <x:c r="I21" s="345" t="str"/>
      <x:c r="J21" s="345" t="str"/>
    </x:row>
    <x:row r="22">
      <x:c r="A22" s="344"/>
      <x:c r="B22" s="267" t="str">
        <x:f>IF(A22="","",MAX(1,MIN('Setup'!$B$8,INT((A22-'Setup'!$B$6)/7)+1)))</x:f>
      </x:c>
      <x:c r="C22" s="345" t="str"/>
      <x:c r="D22" s="345" t="str"/>
      <x:c r="E22" s="345" t="str"/>
      <x:c r="F22" s="349"/>
      <x:c r="G22" s="350" t="str">
        <x:f>IF(F22="","",F22/60)</x:f>
      </x:c>
      <x:c r="H22" s="267" t="str"/>
      <x:c r="I22" s="345" t="str"/>
      <x:c r="J22" s="345" t="str"/>
    </x:row>
    <x:row r="23">
      <x:c r="A23" s="344"/>
      <x:c r="B23" s="267" t="str">
        <x:f>IF(A23="","",MAX(1,MIN('Setup'!$B$8,INT((A23-'Setup'!$B$6)/7)+1)))</x:f>
      </x:c>
      <x:c r="C23" s="345" t="str"/>
      <x:c r="D23" s="345" t="str"/>
      <x:c r="E23" s="345" t="str"/>
      <x:c r="F23" s="349"/>
      <x:c r="G23" s="350" t="str">
        <x:f>IF(F23="","",F23/60)</x:f>
      </x:c>
      <x:c r="H23" s="267" t="str"/>
      <x:c r="I23" s="345" t="str"/>
      <x:c r="J23" s="345" t="str"/>
    </x:row>
    <x:row r="24">
      <x:c r="A24" s="344"/>
      <x:c r="B24" s="267" t="str">
        <x:f>IF(A24="","",MAX(1,MIN('Setup'!$B$8,INT((A24-'Setup'!$B$6)/7)+1)))</x:f>
      </x:c>
      <x:c r="C24" s="345" t="str"/>
      <x:c r="D24" s="345" t="str"/>
      <x:c r="E24" s="345" t="str"/>
      <x:c r="F24" s="349"/>
      <x:c r="G24" s="350" t="str">
        <x:f>IF(F24="","",F24/60)</x:f>
      </x:c>
      <x:c r="H24" s="267" t="str"/>
      <x:c r="I24" s="345" t="str"/>
      <x:c r="J24" s="345" t="str"/>
    </x:row>
    <x:row r="25">
      <x:c r="A25" s="344"/>
      <x:c r="B25" s="267" t="str">
        <x:f>IF(A25="","",MAX(1,MIN('Setup'!$B$8,INT((A25-'Setup'!$B$6)/7)+1)))</x:f>
      </x:c>
      <x:c r="C25" s="345" t="str"/>
      <x:c r="D25" s="345" t="str"/>
      <x:c r="E25" s="345" t="str"/>
      <x:c r="F25" s="349"/>
      <x:c r="G25" s="350" t="str">
        <x:f>IF(F25="","",F25/60)</x:f>
      </x:c>
      <x:c r="H25" s="267" t="str"/>
      <x:c r="I25" s="345" t="str"/>
      <x:c r="J25" s="345" t="str"/>
    </x:row>
    <x:row r="26">
      <x:c r="A26" s="344"/>
      <x:c r="B26" s="267" t="str">
        <x:f>IF(A26="","",MAX(1,MIN('Setup'!$B$8,INT((A26-'Setup'!$B$6)/7)+1)))</x:f>
      </x:c>
      <x:c r="C26" s="345" t="str"/>
      <x:c r="D26" s="345" t="str"/>
      <x:c r="E26" s="345" t="str"/>
      <x:c r="F26" s="349"/>
      <x:c r="G26" s="350" t="str">
        <x:f>IF(F26="","",F26/60)</x:f>
      </x:c>
      <x:c r="H26" s="267" t="str"/>
      <x:c r="I26" s="345" t="str"/>
      <x:c r="J26" s="345" t="str"/>
    </x:row>
    <x:row r="27">
      <x:c r="A27" s="344"/>
      <x:c r="B27" s="267" t="str">
        <x:f>IF(A27="","",MAX(1,MIN('Setup'!$B$8,INT((A27-'Setup'!$B$6)/7)+1)))</x:f>
      </x:c>
      <x:c r="C27" s="345" t="str"/>
      <x:c r="D27" s="345" t="str"/>
      <x:c r="E27" s="345" t="str"/>
      <x:c r="F27" s="349"/>
      <x:c r="G27" s="350" t="str">
        <x:f>IF(F27="","",F27/60)</x:f>
      </x:c>
      <x:c r="H27" s="267" t="str"/>
      <x:c r="I27" s="345" t="str"/>
      <x:c r="J27" s="345" t="str"/>
    </x:row>
    <x:row r="28">
      <x:c r="A28" s="344"/>
      <x:c r="B28" s="267" t="str">
        <x:f>IF(A28="","",MAX(1,MIN('Setup'!$B$8,INT((A28-'Setup'!$B$6)/7)+1)))</x:f>
      </x:c>
      <x:c r="C28" s="345" t="str"/>
      <x:c r="D28" s="345" t="str"/>
      <x:c r="E28" s="345" t="str"/>
      <x:c r="F28" s="349"/>
      <x:c r="G28" s="350" t="str">
        <x:f>IF(F28="","",F28/60)</x:f>
      </x:c>
      <x:c r="H28" s="267" t="str"/>
      <x:c r="I28" s="345" t="str"/>
      <x:c r="J28" s="345" t="str"/>
    </x:row>
    <x:row r="29">
      <x:c r="A29" s="344"/>
      <x:c r="B29" s="267" t="str">
        <x:f>IF(A29="","",MAX(1,MIN('Setup'!$B$8,INT((A29-'Setup'!$B$6)/7)+1)))</x:f>
      </x:c>
      <x:c r="C29" s="345" t="str"/>
      <x:c r="D29" s="345" t="str"/>
      <x:c r="E29" s="345" t="str"/>
      <x:c r="F29" s="349"/>
      <x:c r="G29" s="350" t="str">
        <x:f>IF(F29="","",F29/60)</x:f>
      </x:c>
      <x:c r="H29" s="267" t="str"/>
      <x:c r="I29" s="345" t="str"/>
      <x:c r="J29" s="345" t="str"/>
    </x:row>
    <x:row r="30">
      <x:c r="A30" s="344"/>
      <x:c r="B30" s="267" t="str">
        <x:f>IF(A30="","",MAX(1,MIN('Setup'!$B$8,INT((A30-'Setup'!$B$6)/7)+1)))</x:f>
      </x:c>
      <x:c r="C30" s="345" t="str"/>
      <x:c r="D30" s="345" t="str"/>
      <x:c r="E30" s="345" t="str"/>
      <x:c r="F30" s="349"/>
      <x:c r="G30" s="350" t="str">
        <x:f>IF(F30="","",F30/60)</x:f>
      </x:c>
      <x:c r="H30" s="267" t="str"/>
      <x:c r="I30" s="345" t="str"/>
      <x:c r="J30" s="345" t="str"/>
    </x:row>
    <x:row r="31">
      <x:c r="A31" s="344"/>
      <x:c r="B31" s="267" t="str">
        <x:f>IF(A31="","",MAX(1,MIN('Setup'!$B$8,INT((A31-'Setup'!$B$6)/7)+1)))</x:f>
      </x:c>
      <x:c r="C31" s="345" t="str"/>
      <x:c r="D31" s="345" t="str"/>
      <x:c r="E31" s="345" t="str"/>
      <x:c r="F31" s="349"/>
      <x:c r="G31" s="350" t="str">
        <x:f>IF(F31="","",F31/60)</x:f>
      </x:c>
      <x:c r="H31" s="267" t="str"/>
      <x:c r="I31" s="345" t="str"/>
      <x:c r="J31" s="345" t="str"/>
    </x:row>
    <x:row r="32">
      <x:c r="A32" s="344"/>
      <x:c r="B32" s="267" t="str">
        <x:f>IF(A32="","",MAX(1,MIN('Setup'!$B$8,INT((A32-'Setup'!$B$6)/7)+1)))</x:f>
      </x:c>
      <x:c r="C32" s="345" t="str"/>
      <x:c r="D32" s="345" t="str"/>
      <x:c r="E32" s="345" t="str"/>
      <x:c r="F32" s="349"/>
      <x:c r="G32" s="350" t="str">
        <x:f>IF(F32="","",F32/60)</x:f>
      </x:c>
      <x:c r="H32" s="267" t="str"/>
      <x:c r="I32" s="345" t="str"/>
      <x:c r="J32" s="345" t="str"/>
    </x:row>
    <x:row r="33">
      <x:c r="A33" s="344"/>
      <x:c r="B33" s="267" t="str">
        <x:f>IF(A33="","",MAX(1,MIN('Setup'!$B$8,INT((A33-'Setup'!$B$6)/7)+1)))</x:f>
      </x:c>
      <x:c r="C33" s="345" t="str"/>
      <x:c r="D33" s="345" t="str"/>
      <x:c r="E33" s="345" t="str"/>
      <x:c r="F33" s="349"/>
      <x:c r="G33" s="350" t="str">
        <x:f>IF(F33="","",F33/60)</x:f>
      </x:c>
      <x:c r="H33" s="267" t="str"/>
      <x:c r="I33" s="345" t="str"/>
      <x:c r="J33" s="345" t="str"/>
    </x:row>
    <x:row r="34">
      <x:c r="A34" s="344"/>
      <x:c r="B34" s="267" t="str">
        <x:f>IF(A34="","",MAX(1,MIN('Setup'!$B$8,INT((A34-'Setup'!$B$6)/7)+1)))</x:f>
      </x:c>
      <x:c r="C34" s="345" t="str"/>
      <x:c r="D34" s="345" t="str"/>
      <x:c r="E34" s="345" t="str"/>
      <x:c r="F34" s="349"/>
      <x:c r="G34" s="350" t="str">
        <x:f>IF(F34="","",F34/60)</x:f>
      </x:c>
      <x:c r="H34" s="267" t="str"/>
      <x:c r="I34" s="345" t="str"/>
      <x:c r="J34" s="345" t="str"/>
    </x:row>
    <x:row r="35">
      <x:c r="A35" s="344"/>
      <x:c r="B35" s="267" t="str">
        <x:f>IF(A35="","",MAX(1,MIN('Setup'!$B$8,INT((A35-'Setup'!$B$6)/7)+1)))</x:f>
      </x:c>
      <x:c r="C35" s="345" t="str"/>
      <x:c r="D35" s="345" t="str"/>
      <x:c r="E35" s="345" t="str"/>
      <x:c r="F35" s="349"/>
      <x:c r="G35" s="350" t="str">
        <x:f>IF(F35="","",F35/60)</x:f>
      </x:c>
      <x:c r="H35" s="267" t="str"/>
      <x:c r="I35" s="345" t="str"/>
      <x:c r="J35" s="345" t="str"/>
    </x:row>
    <x:row r="36">
      <x:c r="A36" s="344"/>
      <x:c r="B36" s="267" t="str">
        <x:f>IF(A36="","",MAX(1,MIN('Setup'!$B$8,INT((A36-'Setup'!$B$6)/7)+1)))</x:f>
      </x:c>
      <x:c r="C36" s="345" t="str"/>
      <x:c r="D36" s="345" t="str"/>
      <x:c r="E36" s="345" t="str"/>
      <x:c r="F36" s="349"/>
      <x:c r="G36" s="350" t="str">
        <x:f>IF(F36="","",F36/60)</x:f>
      </x:c>
      <x:c r="H36" s="267" t="str"/>
      <x:c r="I36" s="345" t="str"/>
      <x:c r="J36" s="345" t="str"/>
    </x:row>
    <x:row r="37">
      <x:c r="A37" s="344"/>
      <x:c r="B37" s="267" t="str">
        <x:f>IF(A37="","",MAX(1,MIN('Setup'!$B$8,INT((A37-'Setup'!$B$6)/7)+1)))</x:f>
      </x:c>
      <x:c r="C37" s="345" t="str"/>
      <x:c r="D37" s="345" t="str"/>
      <x:c r="E37" s="345" t="str"/>
      <x:c r="F37" s="349"/>
      <x:c r="G37" s="350" t="str">
        <x:f>IF(F37="","",F37/60)</x:f>
      </x:c>
      <x:c r="H37" s="267" t="str"/>
      <x:c r="I37" s="345" t="str"/>
      <x:c r="J37" s="345" t="str"/>
    </x:row>
    <x:row r="38">
      <x:c r="A38" s="344"/>
      <x:c r="B38" s="267" t="str">
        <x:f>IF(A38="","",MAX(1,MIN('Setup'!$B$8,INT((A38-'Setup'!$B$6)/7)+1)))</x:f>
      </x:c>
      <x:c r="C38" s="345" t="str"/>
      <x:c r="D38" s="345" t="str"/>
      <x:c r="E38" s="345" t="str"/>
      <x:c r="F38" s="349"/>
      <x:c r="G38" s="350" t="str">
        <x:f>IF(F38="","",F38/60)</x:f>
      </x:c>
      <x:c r="H38" s="267" t="str"/>
      <x:c r="I38" s="345" t="str"/>
      <x:c r="J38" s="345" t="str"/>
    </x:row>
    <x:row r="39">
      <x:c r="A39" s="344"/>
      <x:c r="B39" s="267" t="str">
        <x:f>IF(A39="","",MAX(1,MIN('Setup'!$B$8,INT((A39-'Setup'!$B$6)/7)+1)))</x:f>
      </x:c>
      <x:c r="C39" s="345" t="str"/>
      <x:c r="D39" s="345" t="str"/>
      <x:c r="E39" s="345" t="str"/>
      <x:c r="F39" s="349"/>
      <x:c r="G39" s="350" t="str">
        <x:f>IF(F39="","",F39/60)</x:f>
      </x:c>
      <x:c r="H39" s="267" t="str"/>
      <x:c r="I39" s="345" t="str"/>
      <x:c r="J39" s="345" t="str"/>
    </x:row>
    <x:row r="40">
      <x:c r="A40" s="344"/>
      <x:c r="B40" s="267" t="str">
        <x:f>IF(A40="","",MAX(1,MIN('Setup'!$B$8,INT((A40-'Setup'!$B$6)/7)+1)))</x:f>
      </x:c>
      <x:c r="C40" s="345" t="str"/>
      <x:c r="D40" s="345" t="str"/>
      <x:c r="E40" s="345" t="str"/>
      <x:c r="F40" s="349"/>
      <x:c r="G40" s="350" t="str">
        <x:f>IF(F40="","",F40/60)</x:f>
      </x:c>
      <x:c r="H40" s="267" t="str"/>
      <x:c r="I40" s="345" t="str"/>
      <x:c r="J40" s="345" t="str"/>
    </x:row>
    <x:row r="41">
      <x:c r="A41" s="344"/>
      <x:c r="B41" s="267" t="str">
        <x:f>IF(A41="","",MAX(1,MIN('Setup'!$B$8,INT((A41-'Setup'!$B$6)/7)+1)))</x:f>
      </x:c>
      <x:c r="C41" s="345" t="str"/>
      <x:c r="D41" s="345" t="str"/>
      <x:c r="E41" s="345" t="str"/>
      <x:c r="F41" s="349"/>
      <x:c r="G41" s="350" t="str">
        <x:f>IF(F41="","",F41/60)</x:f>
      </x:c>
      <x:c r="H41" s="267" t="str"/>
      <x:c r="I41" s="345" t="str"/>
      <x:c r="J41" s="345" t="str"/>
    </x:row>
    <x:row r="42">
      <x:c r="A42" s="344"/>
      <x:c r="B42" s="267" t="str">
        <x:f>IF(A42="","",MAX(1,MIN('Setup'!$B$8,INT((A42-'Setup'!$B$6)/7)+1)))</x:f>
      </x:c>
      <x:c r="C42" s="345" t="str"/>
      <x:c r="D42" s="345" t="str"/>
      <x:c r="E42" s="345" t="str"/>
      <x:c r="F42" s="349"/>
      <x:c r="G42" s="350" t="str">
        <x:f>IF(F42="","",F42/60)</x:f>
      </x:c>
      <x:c r="H42" s="267" t="str"/>
      <x:c r="I42" s="345" t="str"/>
      <x:c r="J42" s="345" t="str"/>
    </x:row>
    <x:row r="43">
      <x:c r="A43" s="344"/>
      <x:c r="B43" s="267" t="str">
        <x:f>IF(A43="","",MAX(1,MIN('Setup'!$B$8,INT((A43-'Setup'!$B$6)/7)+1)))</x:f>
      </x:c>
      <x:c r="C43" s="345" t="str"/>
      <x:c r="D43" s="345" t="str"/>
      <x:c r="E43" s="345" t="str"/>
      <x:c r="F43" s="349"/>
      <x:c r="G43" s="350" t="str">
        <x:f>IF(F43="","",F43/60)</x:f>
      </x:c>
      <x:c r="H43" s="267" t="str"/>
      <x:c r="I43" s="345" t="str"/>
      <x:c r="J43" s="345" t="str"/>
    </x:row>
    <x:row r="44">
      <x:c r="A44" s="344"/>
      <x:c r="B44" s="267" t="str">
        <x:f>IF(A44="","",MAX(1,MIN('Setup'!$B$8,INT((A44-'Setup'!$B$6)/7)+1)))</x:f>
      </x:c>
      <x:c r="C44" s="345" t="str"/>
      <x:c r="D44" s="345" t="str"/>
      <x:c r="E44" s="345" t="str"/>
      <x:c r="F44" s="349"/>
      <x:c r="G44" s="350" t="str">
        <x:f>IF(F44="","",F44/60)</x:f>
      </x:c>
      <x:c r="H44" s="267" t="str"/>
      <x:c r="I44" s="345" t="str"/>
      <x:c r="J44" s="345" t="str"/>
    </x:row>
    <x:row r="45">
      <x:c r="A45" s="344"/>
      <x:c r="B45" s="267" t="str">
        <x:f>IF(A45="","",MAX(1,MIN('Setup'!$B$8,INT((A45-'Setup'!$B$6)/7)+1)))</x:f>
      </x:c>
      <x:c r="C45" s="345" t="str"/>
      <x:c r="D45" s="345" t="str"/>
      <x:c r="E45" s="345" t="str"/>
      <x:c r="F45" s="349"/>
      <x:c r="G45" s="350" t="str">
        <x:f>IF(F45="","",F45/60)</x:f>
      </x:c>
      <x:c r="H45" s="267" t="str"/>
      <x:c r="I45" s="345" t="str"/>
      <x:c r="J45" s="345" t="str"/>
    </x:row>
    <x:row r="46">
      <x:c r="A46" s="344"/>
      <x:c r="B46" s="267" t="str">
        <x:f>IF(A46="","",MAX(1,MIN('Setup'!$B$8,INT((A46-'Setup'!$B$6)/7)+1)))</x:f>
      </x:c>
      <x:c r="C46" s="345" t="str"/>
      <x:c r="D46" s="345" t="str"/>
      <x:c r="E46" s="345" t="str"/>
      <x:c r="F46" s="349"/>
      <x:c r="G46" s="350" t="str">
        <x:f>IF(F46="","",F46/60)</x:f>
      </x:c>
      <x:c r="H46" s="267" t="str"/>
      <x:c r="I46" s="345" t="str"/>
      <x:c r="J46" s="345" t="str"/>
    </x:row>
    <x:row r="47">
      <x:c r="A47" s="344"/>
      <x:c r="B47" s="267" t="str">
        <x:f>IF(A47="","",MAX(1,MIN('Setup'!$B$8,INT((A47-'Setup'!$B$6)/7)+1)))</x:f>
      </x:c>
      <x:c r="C47" s="345" t="str"/>
      <x:c r="D47" s="345" t="str"/>
      <x:c r="E47" s="345" t="str"/>
      <x:c r="F47" s="349"/>
      <x:c r="G47" s="350" t="str">
        <x:f>IF(F47="","",F47/60)</x:f>
      </x:c>
      <x:c r="H47" s="267" t="str"/>
      <x:c r="I47" s="345" t="str"/>
      <x:c r="J47" s="345" t="str"/>
    </x:row>
    <x:row r="48">
      <x:c r="A48" s="344"/>
      <x:c r="B48" s="267" t="str">
        <x:f>IF(A48="","",MAX(1,MIN('Setup'!$B$8,INT((A48-'Setup'!$B$6)/7)+1)))</x:f>
      </x:c>
      <x:c r="C48" s="345" t="str"/>
      <x:c r="D48" s="345" t="str"/>
      <x:c r="E48" s="345" t="str"/>
      <x:c r="F48" s="349"/>
      <x:c r="G48" s="350" t="str">
        <x:f>IF(F48="","",F48/60)</x:f>
      </x:c>
      <x:c r="H48" s="267" t="str"/>
      <x:c r="I48" s="345" t="str"/>
      <x:c r="J48" s="345" t="str"/>
    </x:row>
    <x:row r="49">
      <x:c r="A49" s="344"/>
      <x:c r="B49" s="267" t="str">
        <x:f>IF(A49="","",MAX(1,MIN('Setup'!$B$8,INT((A49-'Setup'!$B$6)/7)+1)))</x:f>
      </x:c>
      <x:c r="C49" s="345" t="str"/>
      <x:c r="D49" s="345" t="str"/>
      <x:c r="E49" s="345" t="str"/>
      <x:c r="F49" s="349"/>
      <x:c r="G49" s="350" t="str">
        <x:f>IF(F49="","",F49/60)</x:f>
      </x:c>
      <x:c r="H49" s="267" t="str"/>
      <x:c r="I49" s="345" t="str"/>
      <x:c r="J49" s="345" t="str"/>
    </x:row>
    <x:row r="50">
      <x:c r="A50" s="344"/>
      <x:c r="B50" s="267" t="str">
        <x:f>IF(A50="","",MAX(1,MIN('Setup'!$B$8,INT((A50-'Setup'!$B$6)/7)+1)))</x:f>
      </x:c>
      <x:c r="C50" s="345" t="str"/>
      <x:c r="D50" s="345" t="str"/>
      <x:c r="E50" s="345" t="str"/>
      <x:c r="F50" s="349"/>
      <x:c r="G50" s="350" t="str">
        <x:f>IF(F50="","",F50/60)</x:f>
      </x:c>
      <x:c r="H50" s="267" t="str"/>
      <x:c r="I50" s="345" t="str"/>
      <x:c r="J50" s="345" t="str"/>
    </x:row>
    <x:row r="51">
      <x:c r="A51" s="344"/>
      <x:c r="B51" s="267" t="str">
        <x:f>IF(A51="","",MAX(1,MIN('Setup'!$B$8,INT((A51-'Setup'!$B$6)/7)+1)))</x:f>
      </x:c>
      <x:c r="C51" s="345" t="str"/>
      <x:c r="D51" s="345" t="str"/>
      <x:c r="E51" s="345" t="str"/>
      <x:c r="F51" s="349"/>
      <x:c r="G51" s="350" t="str">
        <x:f>IF(F51="","",F51/60)</x:f>
      </x:c>
      <x:c r="H51" s="267" t="str"/>
      <x:c r="I51" s="345" t="str"/>
      <x:c r="J51" s="345" t="str"/>
    </x:row>
    <x:row r="52">
      <x:c r="A52" s="344"/>
      <x:c r="B52" s="267" t="str">
        <x:f>IF(A52="","",MAX(1,MIN('Setup'!$B$8,INT((A52-'Setup'!$B$6)/7)+1)))</x:f>
      </x:c>
      <x:c r="C52" s="345" t="str"/>
      <x:c r="D52" s="345" t="str"/>
      <x:c r="E52" s="345" t="str"/>
      <x:c r="F52" s="349"/>
      <x:c r="G52" s="350" t="str">
        <x:f>IF(F52="","",F52/60)</x:f>
      </x:c>
      <x:c r="H52" s="267" t="str"/>
      <x:c r="I52" s="345" t="str"/>
      <x:c r="J52" s="345" t="str"/>
    </x:row>
    <x:row r="53">
      <x:c r="A53" s="344"/>
      <x:c r="B53" s="267" t="str">
        <x:f>IF(A53="","",MAX(1,MIN('Setup'!$B$8,INT((A53-'Setup'!$B$6)/7)+1)))</x:f>
      </x:c>
      <x:c r="C53" s="345" t="str"/>
      <x:c r="D53" s="345" t="str"/>
      <x:c r="E53" s="345" t="str"/>
      <x:c r="F53" s="349"/>
      <x:c r="G53" s="350" t="str">
        <x:f>IF(F53="","",F53/60)</x:f>
      </x:c>
      <x:c r="H53" s="267" t="str"/>
      <x:c r="I53" s="345" t="str"/>
      <x:c r="J53" s="345" t="str"/>
    </x:row>
    <x:row r="54">
      <x:c r="A54" s="344"/>
      <x:c r="B54" s="267" t="str">
        <x:f>IF(A54="","",MAX(1,MIN('Setup'!$B$8,INT((A54-'Setup'!$B$6)/7)+1)))</x:f>
      </x:c>
      <x:c r="C54" s="345" t="str"/>
      <x:c r="D54" s="345" t="str"/>
      <x:c r="E54" s="345" t="str"/>
      <x:c r="F54" s="349"/>
      <x:c r="G54" s="350" t="str">
        <x:f>IF(F54="","",F54/60)</x:f>
      </x:c>
      <x:c r="H54" s="267" t="str"/>
      <x:c r="I54" s="345" t="str"/>
      <x:c r="J54" s="345" t="str"/>
    </x:row>
    <x:row r="55">
      <x:c r="A55" s="344"/>
      <x:c r="B55" s="267" t="str">
        <x:f>IF(A55="","",MAX(1,MIN('Setup'!$B$8,INT((A55-'Setup'!$B$6)/7)+1)))</x:f>
      </x:c>
      <x:c r="C55" s="345" t="str"/>
      <x:c r="D55" s="345" t="str"/>
      <x:c r="E55" s="345" t="str"/>
      <x:c r="F55" s="349"/>
      <x:c r="G55" s="350" t="str">
        <x:f>IF(F55="","",F55/60)</x:f>
      </x:c>
      <x:c r="H55" s="267" t="str"/>
      <x:c r="I55" s="345" t="str"/>
      <x:c r="J55" s="345" t="str"/>
    </x:row>
    <x:row r="56">
      <x:c r="A56" s="344"/>
      <x:c r="B56" s="267" t="str">
        <x:f>IF(A56="","",MAX(1,MIN('Setup'!$B$8,INT((A56-'Setup'!$B$6)/7)+1)))</x:f>
      </x:c>
      <x:c r="C56" s="345" t="str"/>
      <x:c r="D56" s="345" t="str"/>
      <x:c r="E56" s="345" t="str"/>
      <x:c r="F56" s="349"/>
      <x:c r="G56" s="350" t="str">
        <x:f>IF(F56="","",F56/60)</x:f>
      </x:c>
      <x:c r="H56" s="267" t="str"/>
      <x:c r="I56" s="345" t="str"/>
      <x:c r="J56" s="345" t="str"/>
    </x:row>
    <x:row r="57">
      <x:c r="A57" s="344"/>
      <x:c r="B57" s="267" t="str">
        <x:f>IF(A57="","",MAX(1,MIN('Setup'!$B$8,INT((A57-'Setup'!$B$6)/7)+1)))</x:f>
      </x:c>
      <x:c r="C57" s="345" t="str"/>
      <x:c r="D57" s="345" t="str"/>
      <x:c r="E57" s="345" t="str"/>
      <x:c r="F57" s="349"/>
      <x:c r="G57" s="350" t="str">
        <x:f>IF(F57="","",F57/60)</x:f>
      </x:c>
      <x:c r="H57" s="267" t="str"/>
      <x:c r="I57" s="345" t="str"/>
      <x:c r="J57" s="345" t="str"/>
    </x:row>
    <x:row r="58">
      <x:c r="A58" s="344"/>
      <x:c r="B58" s="267" t="str">
        <x:f>IF(A58="","",MAX(1,MIN('Setup'!$B$8,INT((A58-'Setup'!$B$6)/7)+1)))</x:f>
      </x:c>
      <x:c r="C58" s="345" t="str"/>
      <x:c r="D58" s="345" t="str"/>
      <x:c r="E58" s="345" t="str"/>
      <x:c r="F58" s="349"/>
      <x:c r="G58" s="350" t="str">
        <x:f>IF(F58="","",F58/60)</x:f>
      </x:c>
      <x:c r="H58" s="267" t="str"/>
      <x:c r="I58" s="345" t="str"/>
      <x:c r="J58" s="345" t="str"/>
    </x:row>
    <x:row r="59">
      <x:c r="A59" s="344"/>
      <x:c r="B59" s="267" t="str">
        <x:f>IF(A59="","",MAX(1,MIN('Setup'!$B$8,INT((A59-'Setup'!$B$6)/7)+1)))</x:f>
      </x:c>
      <x:c r="C59" s="345" t="str"/>
      <x:c r="D59" s="345" t="str"/>
      <x:c r="E59" s="345" t="str"/>
      <x:c r="F59" s="349"/>
      <x:c r="G59" s="350" t="str">
        <x:f>IF(F59="","",F59/60)</x:f>
      </x:c>
      <x:c r="H59" s="267" t="str"/>
      <x:c r="I59" s="345" t="str"/>
      <x:c r="J59" s="345" t="str"/>
    </x:row>
    <x:row r="60">
      <x:c r="A60" s="344"/>
      <x:c r="B60" s="267" t="str">
        <x:f>IF(A60="","",MAX(1,MIN('Setup'!$B$8,INT((A60-'Setup'!$B$6)/7)+1)))</x:f>
      </x:c>
      <x:c r="C60" s="345" t="str"/>
      <x:c r="D60" s="345" t="str"/>
      <x:c r="E60" s="345" t="str"/>
      <x:c r="F60" s="349"/>
      <x:c r="G60" s="350" t="str">
        <x:f>IF(F60="","",F60/60)</x:f>
      </x:c>
      <x:c r="H60" s="267" t="str"/>
      <x:c r="I60" s="345" t="str"/>
      <x:c r="J60" s="345" t="str"/>
    </x:row>
    <x:row r="61">
      <x:c r="A61" s="344"/>
      <x:c r="B61" s="267" t="str">
        <x:f>IF(A61="","",MAX(1,MIN('Setup'!$B$8,INT((A61-'Setup'!$B$6)/7)+1)))</x:f>
      </x:c>
      <x:c r="C61" s="345" t="str"/>
      <x:c r="D61" s="345" t="str"/>
      <x:c r="E61" s="345" t="str"/>
      <x:c r="F61" s="349"/>
      <x:c r="G61" s="350" t="str">
        <x:f>IF(F61="","",F61/60)</x:f>
      </x:c>
      <x:c r="H61" s="267" t="str"/>
      <x:c r="I61" s="345" t="str"/>
      <x:c r="J61" s="345" t="str"/>
    </x:row>
    <x:row r="62">
      <x:c r="A62" s="344"/>
      <x:c r="B62" s="267" t="str">
        <x:f>IF(A62="","",MAX(1,MIN('Setup'!$B$8,INT((A62-'Setup'!$B$6)/7)+1)))</x:f>
      </x:c>
      <x:c r="C62" s="345" t="str"/>
      <x:c r="D62" s="345" t="str"/>
      <x:c r="E62" s="345" t="str"/>
      <x:c r="F62" s="349"/>
      <x:c r="G62" s="350" t="str">
        <x:f>IF(F62="","",F62/60)</x:f>
      </x:c>
      <x:c r="H62" s="267" t="str"/>
      <x:c r="I62" s="345" t="str"/>
      <x:c r="J62" s="345" t="str"/>
    </x:row>
    <x:row r="63">
      <x:c r="A63" s="344"/>
      <x:c r="B63" s="267" t="str">
        <x:f>IF(A63="","",MAX(1,MIN('Setup'!$B$8,INT((A63-'Setup'!$B$6)/7)+1)))</x:f>
      </x:c>
      <x:c r="C63" s="345" t="str"/>
      <x:c r="D63" s="345" t="str"/>
      <x:c r="E63" s="345" t="str"/>
      <x:c r="F63" s="349"/>
      <x:c r="G63" s="350" t="str">
        <x:f>IF(F63="","",F63/60)</x:f>
      </x:c>
      <x:c r="H63" s="267" t="str"/>
      <x:c r="I63" s="345" t="str"/>
      <x:c r="J63" s="345" t="str"/>
    </x:row>
    <x:row r="64">
      <x:c r="A64" s="344"/>
      <x:c r="B64" s="267" t="str">
        <x:f>IF(A64="","",MAX(1,MIN('Setup'!$B$8,INT((A64-'Setup'!$B$6)/7)+1)))</x:f>
      </x:c>
      <x:c r="C64" s="345" t="str"/>
      <x:c r="D64" s="345" t="str"/>
      <x:c r="E64" s="345" t="str"/>
      <x:c r="F64" s="349"/>
      <x:c r="G64" s="350" t="str">
        <x:f>IF(F64="","",F64/60)</x:f>
      </x:c>
      <x:c r="H64" s="267" t="str"/>
      <x:c r="I64" s="345" t="str"/>
      <x:c r="J64" s="345" t="str"/>
    </x:row>
    <x:row r="65">
      <x:c r="A65" s="344"/>
      <x:c r="B65" s="267" t="str">
        <x:f>IF(A65="","",MAX(1,MIN('Setup'!$B$8,INT((A65-'Setup'!$B$6)/7)+1)))</x:f>
      </x:c>
      <x:c r="C65" s="345" t="str"/>
      <x:c r="D65" s="345" t="str"/>
      <x:c r="E65" s="345" t="str"/>
      <x:c r="F65" s="349"/>
      <x:c r="G65" s="350" t="str">
        <x:f>IF(F65="","",F65/60)</x:f>
      </x:c>
      <x:c r="H65" s="267" t="str"/>
      <x:c r="I65" s="345" t="str"/>
      <x:c r="J65" s="345" t="str"/>
    </x:row>
    <x:row r="66">
      <x:c r="A66" s="344"/>
      <x:c r="B66" s="267" t="str">
        <x:f>IF(A66="","",MAX(1,MIN('Setup'!$B$8,INT((A66-'Setup'!$B$6)/7)+1)))</x:f>
      </x:c>
      <x:c r="C66" s="345" t="str"/>
      <x:c r="D66" s="345" t="str"/>
      <x:c r="E66" s="345" t="str"/>
      <x:c r="F66" s="349"/>
      <x:c r="G66" s="350" t="str">
        <x:f>IF(F66="","",F66/60)</x:f>
      </x:c>
      <x:c r="H66" s="267" t="str"/>
      <x:c r="I66" s="345" t="str"/>
      <x:c r="J66" s="345" t="str"/>
    </x:row>
    <x:row r="67">
      <x:c r="A67" s="344"/>
      <x:c r="B67" s="267" t="str">
        <x:f>IF(A67="","",MAX(1,MIN('Setup'!$B$8,INT((A67-'Setup'!$B$6)/7)+1)))</x:f>
      </x:c>
      <x:c r="C67" s="345" t="str"/>
      <x:c r="D67" s="345" t="str"/>
      <x:c r="E67" s="345" t="str"/>
      <x:c r="F67" s="349"/>
      <x:c r="G67" s="350" t="str">
        <x:f>IF(F67="","",F67/60)</x:f>
      </x:c>
      <x:c r="H67" s="267" t="str"/>
      <x:c r="I67" s="345" t="str"/>
      <x:c r="J67" s="345" t="str"/>
    </x:row>
    <x:row r="68">
      <x:c r="A68" s="344"/>
      <x:c r="B68" s="267" t="str">
        <x:f>IF(A68="","",MAX(1,MIN('Setup'!$B$8,INT((A68-'Setup'!$B$6)/7)+1)))</x:f>
      </x:c>
      <x:c r="C68" s="345" t="str"/>
      <x:c r="D68" s="345" t="str"/>
      <x:c r="E68" s="345" t="str"/>
      <x:c r="F68" s="349"/>
      <x:c r="G68" s="350" t="str">
        <x:f>IF(F68="","",F68/60)</x:f>
      </x:c>
      <x:c r="H68" s="267" t="str"/>
      <x:c r="I68" s="345" t="str"/>
      <x:c r="J68" s="345" t="str"/>
    </x:row>
    <x:row r="69">
      <x:c r="A69" s="344"/>
      <x:c r="B69" s="267" t="str">
        <x:f>IF(A69="","",MAX(1,MIN('Setup'!$B$8,INT((A69-'Setup'!$B$6)/7)+1)))</x:f>
      </x:c>
      <x:c r="C69" s="345" t="str"/>
      <x:c r="D69" s="345" t="str"/>
      <x:c r="E69" s="345" t="str"/>
      <x:c r="F69" s="349"/>
      <x:c r="G69" s="350" t="str">
        <x:f>IF(F69="","",F69/60)</x:f>
      </x:c>
      <x:c r="H69" s="267" t="str"/>
      <x:c r="I69" s="345" t="str"/>
      <x:c r="J69" s="345" t="str"/>
    </x:row>
    <x:row r="70">
      <x:c r="A70" s="344"/>
      <x:c r="B70" s="267" t="str">
        <x:f>IF(A70="","",MAX(1,MIN('Setup'!$B$8,INT((A70-'Setup'!$B$6)/7)+1)))</x:f>
      </x:c>
      <x:c r="C70" s="345" t="str"/>
      <x:c r="D70" s="345" t="str"/>
      <x:c r="E70" s="345" t="str"/>
      <x:c r="F70" s="349"/>
      <x:c r="G70" s="350" t="str">
        <x:f>IF(F70="","",F70/60)</x:f>
      </x:c>
      <x:c r="H70" s="267" t="str"/>
      <x:c r="I70" s="345" t="str"/>
      <x:c r="J70" s="345" t="str"/>
    </x:row>
    <x:row r="71">
      <x:c r="A71" s="344"/>
      <x:c r="B71" s="267" t="str">
        <x:f>IF(A71="","",MAX(1,MIN('Setup'!$B$8,INT((A71-'Setup'!$B$6)/7)+1)))</x:f>
      </x:c>
      <x:c r="C71" s="345" t="str"/>
      <x:c r="D71" s="345" t="str"/>
      <x:c r="E71" s="345" t="str"/>
      <x:c r="F71" s="349"/>
      <x:c r="G71" s="350" t="str">
        <x:f>IF(F71="","",F71/60)</x:f>
      </x:c>
      <x:c r="H71" s="267" t="str"/>
      <x:c r="I71" s="345" t="str"/>
      <x:c r="J71" s="345" t="str"/>
    </x:row>
    <x:row r="72">
      <x:c r="A72" s="344"/>
      <x:c r="B72" s="267" t="str">
        <x:f>IF(A72="","",MAX(1,MIN('Setup'!$B$8,INT((A72-'Setup'!$B$6)/7)+1)))</x:f>
      </x:c>
      <x:c r="C72" s="345" t="str"/>
      <x:c r="D72" s="345" t="str"/>
      <x:c r="E72" s="345" t="str"/>
      <x:c r="F72" s="349"/>
      <x:c r="G72" s="350" t="str">
        <x:f>IF(F72="","",F72/60)</x:f>
      </x:c>
      <x:c r="H72" s="267" t="str"/>
      <x:c r="I72" s="345" t="str"/>
      <x:c r="J72" s="345" t="str"/>
    </x:row>
    <x:row r="73">
      <x:c r="A73" s="344"/>
      <x:c r="B73" s="267" t="str">
        <x:f>IF(A73="","",MAX(1,MIN('Setup'!$B$8,INT((A73-'Setup'!$B$6)/7)+1)))</x:f>
      </x:c>
      <x:c r="C73" s="345" t="str"/>
      <x:c r="D73" s="345" t="str"/>
      <x:c r="E73" s="345" t="str"/>
      <x:c r="F73" s="349"/>
      <x:c r="G73" s="350" t="str">
        <x:f>IF(F73="","",F73/60)</x:f>
      </x:c>
      <x:c r="H73" s="267" t="str"/>
      <x:c r="I73" s="345" t="str"/>
      <x:c r="J73" s="345" t="str"/>
    </x:row>
    <x:row r="74">
      <x:c r="A74" s="344"/>
      <x:c r="B74" s="267" t="str">
        <x:f>IF(A74="","",MAX(1,MIN('Setup'!$B$8,INT((A74-'Setup'!$B$6)/7)+1)))</x:f>
      </x:c>
      <x:c r="C74" s="345" t="str"/>
      <x:c r="D74" s="345" t="str"/>
      <x:c r="E74" s="345" t="str"/>
      <x:c r="F74" s="349"/>
      <x:c r="G74" s="350" t="str">
        <x:f>IF(F74="","",F74/60)</x:f>
      </x:c>
      <x:c r="H74" s="267" t="str"/>
      <x:c r="I74" s="345" t="str"/>
      <x:c r="J74" s="345" t="str"/>
    </x:row>
    <x:row r="75">
      <x:c r="A75" s="344"/>
      <x:c r="B75" s="267" t="str">
        <x:f>IF(A75="","",MAX(1,MIN('Setup'!$B$8,INT((A75-'Setup'!$B$6)/7)+1)))</x:f>
      </x:c>
      <x:c r="C75" s="345" t="str"/>
      <x:c r="D75" s="345" t="str"/>
      <x:c r="E75" s="345" t="str"/>
      <x:c r="F75" s="349"/>
      <x:c r="G75" s="350" t="str">
        <x:f>IF(F75="","",F75/60)</x:f>
      </x:c>
      <x:c r="H75" s="267" t="str"/>
      <x:c r="I75" s="345" t="str"/>
      <x:c r="J75" s="345" t="str"/>
    </x:row>
    <x:row r="76">
      <x:c r="A76" s="344"/>
      <x:c r="B76" s="267" t="str">
        <x:f>IF(A76="","",MAX(1,MIN('Setup'!$B$8,INT((A76-'Setup'!$B$6)/7)+1)))</x:f>
      </x:c>
      <x:c r="C76" s="345" t="str"/>
      <x:c r="D76" s="345" t="str"/>
      <x:c r="E76" s="345" t="str"/>
      <x:c r="F76" s="349"/>
      <x:c r="G76" s="350" t="str">
        <x:f>IF(F76="","",F76/60)</x:f>
      </x:c>
      <x:c r="H76" s="267" t="str"/>
      <x:c r="I76" s="345" t="str"/>
      <x:c r="J76" s="345" t="str"/>
    </x:row>
    <x:row r="77">
      <x:c r="A77" s="344"/>
      <x:c r="B77" s="267" t="str">
        <x:f>IF(A77="","",MAX(1,MIN('Setup'!$B$8,INT((A77-'Setup'!$B$6)/7)+1)))</x:f>
      </x:c>
      <x:c r="C77" s="345" t="str"/>
      <x:c r="D77" s="345" t="str"/>
      <x:c r="E77" s="345" t="str"/>
      <x:c r="F77" s="349"/>
      <x:c r="G77" s="350" t="str">
        <x:f>IF(F77="","",F77/60)</x:f>
      </x:c>
      <x:c r="H77" s="267" t="str"/>
      <x:c r="I77" s="345" t="str"/>
      <x:c r="J77" s="345" t="str"/>
    </x:row>
    <x:row r="78">
      <x:c r="A78" s="344"/>
      <x:c r="B78" s="267" t="str">
        <x:f>IF(A78="","",MAX(1,MIN('Setup'!$B$8,INT((A78-'Setup'!$B$6)/7)+1)))</x:f>
      </x:c>
      <x:c r="C78" s="345" t="str"/>
      <x:c r="D78" s="345" t="str"/>
      <x:c r="E78" s="345" t="str"/>
      <x:c r="F78" s="349"/>
      <x:c r="G78" s="350" t="str">
        <x:f>IF(F78="","",F78/60)</x:f>
      </x:c>
      <x:c r="H78" s="267" t="str"/>
      <x:c r="I78" s="345" t="str"/>
      <x:c r="J78" s="345" t="str"/>
    </x:row>
    <x:row r="79">
      <x:c r="A79" s="344"/>
      <x:c r="B79" s="267" t="str">
        <x:f>IF(A79="","",MAX(1,MIN('Setup'!$B$8,INT((A79-'Setup'!$B$6)/7)+1)))</x:f>
      </x:c>
      <x:c r="C79" s="345" t="str"/>
      <x:c r="D79" s="345" t="str"/>
      <x:c r="E79" s="345" t="str"/>
      <x:c r="F79" s="349"/>
      <x:c r="G79" s="350" t="str">
        <x:f>IF(F79="","",F79/60)</x:f>
      </x:c>
      <x:c r="H79" s="267" t="str"/>
      <x:c r="I79" s="345" t="str"/>
      <x:c r="J79" s="345" t="str"/>
    </x:row>
    <x:row r="80">
      <x:c r="A80" s="344"/>
      <x:c r="B80" s="267" t="str">
        <x:f>IF(A80="","",MAX(1,MIN('Setup'!$B$8,INT((A80-'Setup'!$B$6)/7)+1)))</x:f>
      </x:c>
      <x:c r="C80" s="345" t="str"/>
      <x:c r="D80" s="345" t="str"/>
      <x:c r="E80" s="345" t="str"/>
      <x:c r="F80" s="349"/>
      <x:c r="G80" s="350" t="str">
        <x:f>IF(F80="","",F80/60)</x:f>
      </x:c>
      <x:c r="H80" s="267" t="str"/>
      <x:c r="I80" s="345" t="str"/>
      <x:c r="J80" s="345" t="str"/>
    </x:row>
    <x:row r="81">
      <x:c r="A81" s="344"/>
      <x:c r="B81" s="267" t="str">
        <x:f>IF(A81="","",MAX(1,MIN('Setup'!$B$8,INT((A81-'Setup'!$B$6)/7)+1)))</x:f>
      </x:c>
      <x:c r="C81" s="345" t="str"/>
      <x:c r="D81" s="345" t="str"/>
      <x:c r="E81" s="345" t="str"/>
      <x:c r="F81" s="349"/>
      <x:c r="G81" s="350" t="str">
        <x:f>IF(F81="","",F81/60)</x:f>
      </x:c>
      <x:c r="H81" s="267" t="str"/>
      <x:c r="I81" s="345" t="str"/>
      <x:c r="J81" s="345" t="str"/>
    </x:row>
    <x:row r="82">
      <x:c r="A82" s="344"/>
      <x:c r="B82" s="267" t="str">
        <x:f>IF(A82="","",MAX(1,MIN('Setup'!$B$8,INT((A82-'Setup'!$B$6)/7)+1)))</x:f>
      </x:c>
      <x:c r="C82" s="345" t="str"/>
      <x:c r="D82" s="345" t="str"/>
      <x:c r="E82" s="345" t="str"/>
      <x:c r="F82" s="349"/>
      <x:c r="G82" s="350" t="str">
        <x:f>IF(F82="","",F82/60)</x:f>
      </x:c>
      <x:c r="H82" s="267" t="str"/>
      <x:c r="I82" s="345" t="str"/>
      <x:c r="J82" s="345" t="str"/>
    </x:row>
    <x:row r="83">
      <x:c r="A83" s="344"/>
      <x:c r="B83" s="267" t="str">
        <x:f>IF(A83="","",MAX(1,MIN('Setup'!$B$8,INT((A83-'Setup'!$B$6)/7)+1)))</x:f>
      </x:c>
      <x:c r="C83" s="345" t="str"/>
      <x:c r="D83" s="345" t="str"/>
      <x:c r="E83" s="345" t="str"/>
      <x:c r="F83" s="349"/>
      <x:c r="G83" s="350" t="str">
        <x:f>IF(F83="","",F83/60)</x:f>
      </x:c>
      <x:c r="H83" s="267" t="str"/>
      <x:c r="I83" s="345" t="str"/>
      <x:c r="J83" s="345" t="str"/>
    </x:row>
    <x:row r="84">
      <x:c r="A84" s="344"/>
      <x:c r="B84" s="267" t="str">
        <x:f>IF(A84="","",MAX(1,MIN('Setup'!$B$8,INT((A84-'Setup'!$B$6)/7)+1)))</x:f>
      </x:c>
      <x:c r="C84" s="345" t="str"/>
      <x:c r="D84" s="345" t="str"/>
      <x:c r="E84" s="345" t="str"/>
      <x:c r="F84" s="349"/>
      <x:c r="G84" s="350" t="str">
        <x:f>IF(F84="","",F84/60)</x:f>
      </x:c>
      <x:c r="H84" s="267" t="str"/>
      <x:c r="I84" s="345" t="str"/>
      <x:c r="J84" s="345" t="str"/>
    </x:row>
    <x:row r="85">
      <x:c r="A85" s="344"/>
      <x:c r="B85" s="267" t="str">
        <x:f>IF(A85="","",MAX(1,MIN('Setup'!$B$8,INT((A85-'Setup'!$B$6)/7)+1)))</x:f>
      </x:c>
      <x:c r="C85" s="345" t="str"/>
      <x:c r="D85" s="345" t="str"/>
      <x:c r="E85" s="345" t="str"/>
      <x:c r="F85" s="349"/>
      <x:c r="G85" s="350" t="str">
        <x:f>IF(F85="","",F85/60)</x:f>
      </x:c>
      <x:c r="H85" s="267" t="str"/>
      <x:c r="I85" s="345" t="str"/>
      <x:c r="J85" s="345" t="str"/>
    </x:row>
    <x:row r="86">
      <x:c r="A86" s="344"/>
      <x:c r="B86" s="267" t="str">
        <x:f>IF(A86="","",MAX(1,MIN('Setup'!$B$8,INT((A86-'Setup'!$B$6)/7)+1)))</x:f>
      </x:c>
      <x:c r="C86" s="345" t="str"/>
      <x:c r="D86" s="345" t="str"/>
      <x:c r="E86" s="345" t="str"/>
      <x:c r="F86" s="349"/>
      <x:c r="G86" s="350" t="str">
        <x:f>IF(F86="","",F86/60)</x:f>
      </x:c>
      <x:c r="H86" s="267" t="str"/>
      <x:c r="I86" s="345" t="str"/>
      <x:c r="J86" s="345" t="str"/>
    </x:row>
    <x:row r="87">
      <x:c r="A87" s="344"/>
      <x:c r="B87" s="267" t="str">
        <x:f>IF(A87="","",MAX(1,MIN('Setup'!$B$8,INT((A87-'Setup'!$B$6)/7)+1)))</x:f>
      </x:c>
      <x:c r="C87" s="345" t="str"/>
      <x:c r="D87" s="345" t="str"/>
      <x:c r="E87" s="345" t="str"/>
      <x:c r="F87" s="349"/>
      <x:c r="G87" s="350" t="str">
        <x:f>IF(F87="","",F87/60)</x:f>
      </x:c>
      <x:c r="H87" s="267" t="str"/>
      <x:c r="I87" s="345" t="str"/>
      <x:c r="J87" s="345" t="str"/>
    </x:row>
    <x:row r="88">
      <x:c r="A88" s="344"/>
      <x:c r="B88" s="267" t="str">
        <x:f>IF(A88="","",MAX(1,MIN('Setup'!$B$8,INT((A88-'Setup'!$B$6)/7)+1)))</x:f>
      </x:c>
      <x:c r="C88" s="345" t="str"/>
      <x:c r="D88" s="345" t="str"/>
      <x:c r="E88" s="345" t="str"/>
      <x:c r="F88" s="349"/>
      <x:c r="G88" s="350" t="str">
        <x:f>IF(F88="","",F88/60)</x:f>
      </x:c>
      <x:c r="H88" s="267" t="str"/>
      <x:c r="I88" s="345" t="str"/>
      <x:c r="J88" s="345" t="str"/>
    </x:row>
    <x:row r="89">
      <x:c r="A89" s="344"/>
      <x:c r="B89" s="267" t="str">
        <x:f>IF(A89="","",MAX(1,MIN('Setup'!$B$8,INT((A89-'Setup'!$B$6)/7)+1)))</x:f>
      </x:c>
      <x:c r="C89" s="345" t="str"/>
      <x:c r="D89" s="345" t="str"/>
      <x:c r="E89" s="345" t="str"/>
      <x:c r="F89" s="349"/>
      <x:c r="G89" s="350" t="str">
        <x:f>IF(F89="","",F89/60)</x:f>
      </x:c>
      <x:c r="H89" s="267" t="str"/>
      <x:c r="I89" s="345" t="str"/>
      <x:c r="J89" s="345" t="str"/>
    </x:row>
    <x:row r="90">
      <x:c r="A90" s="344"/>
      <x:c r="B90" s="267" t="str">
        <x:f>IF(A90="","",MAX(1,MIN('Setup'!$B$8,INT((A90-'Setup'!$B$6)/7)+1)))</x:f>
      </x:c>
      <x:c r="C90" s="345" t="str"/>
      <x:c r="D90" s="345" t="str"/>
      <x:c r="E90" s="345" t="str"/>
      <x:c r="F90" s="349"/>
      <x:c r="G90" s="350" t="str">
        <x:f>IF(F90="","",F90/60)</x:f>
      </x:c>
      <x:c r="H90" s="267" t="str"/>
      <x:c r="I90" s="345" t="str"/>
      <x:c r="J90" s="345" t="str"/>
    </x:row>
    <x:row r="91">
      <x:c r="A91" s="344"/>
      <x:c r="B91" s="267" t="str">
        <x:f>IF(A91="","",MAX(1,MIN('Setup'!$B$8,INT((A91-'Setup'!$B$6)/7)+1)))</x:f>
      </x:c>
      <x:c r="C91" s="345" t="str"/>
      <x:c r="D91" s="345" t="str"/>
      <x:c r="E91" s="345" t="str"/>
      <x:c r="F91" s="349"/>
      <x:c r="G91" s="350" t="str">
        <x:f>IF(F91="","",F91/60)</x:f>
      </x:c>
      <x:c r="H91" s="267" t="str"/>
      <x:c r="I91" s="345" t="str"/>
      <x:c r="J91" s="345" t="str"/>
    </x:row>
    <x:row r="92">
      <x:c r="A92" s="344"/>
      <x:c r="B92" s="267" t="str">
        <x:f>IF(A92="","",MAX(1,MIN('Setup'!$B$8,INT((A92-'Setup'!$B$6)/7)+1)))</x:f>
      </x:c>
      <x:c r="C92" s="345" t="str"/>
      <x:c r="D92" s="345" t="str"/>
      <x:c r="E92" s="345" t="str"/>
      <x:c r="F92" s="349"/>
      <x:c r="G92" s="350" t="str">
        <x:f>IF(F92="","",F92/60)</x:f>
      </x:c>
      <x:c r="H92" s="267" t="str"/>
      <x:c r="I92" s="345" t="str"/>
      <x:c r="J92" s="345" t="str"/>
    </x:row>
    <x:row r="93">
      <x:c r="A93" s="344"/>
      <x:c r="B93" s="267" t="str">
        <x:f>IF(A93="","",MAX(1,MIN('Setup'!$B$8,INT((A93-'Setup'!$B$6)/7)+1)))</x:f>
      </x:c>
      <x:c r="C93" s="345" t="str"/>
      <x:c r="D93" s="345" t="str"/>
      <x:c r="E93" s="345" t="str"/>
      <x:c r="F93" s="349"/>
      <x:c r="G93" s="350" t="str">
        <x:f>IF(F93="","",F93/60)</x:f>
      </x:c>
      <x:c r="H93" s="267" t="str"/>
      <x:c r="I93" s="345" t="str"/>
      <x:c r="J93" s="345" t="str"/>
    </x:row>
    <x:row r="94">
      <x:c r="A94" s="344"/>
      <x:c r="B94" s="267" t="str">
        <x:f>IF(A94="","",MAX(1,MIN('Setup'!$B$8,INT((A94-'Setup'!$B$6)/7)+1)))</x:f>
      </x:c>
      <x:c r="C94" s="345" t="str"/>
      <x:c r="D94" s="345" t="str"/>
      <x:c r="E94" s="345" t="str"/>
      <x:c r="F94" s="349"/>
      <x:c r="G94" s="350" t="str">
        <x:f>IF(F94="","",F94/60)</x:f>
      </x:c>
      <x:c r="H94" s="267" t="str"/>
      <x:c r="I94" s="345" t="str"/>
      <x:c r="J94" s="345" t="str"/>
    </x:row>
    <x:row r="95">
      <x:c r="A95" s="344"/>
      <x:c r="B95" s="267" t="str">
        <x:f>IF(A95="","",MAX(1,MIN('Setup'!$B$8,INT((A95-'Setup'!$B$6)/7)+1)))</x:f>
      </x:c>
      <x:c r="C95" s="345" t="str"/>
      <x:c r="D95" s="345" t="str"/>
      <x:c r="E95" s="345" t="str"/>
      <x:c r="F95" s="349"/>
      <x:c r="G95" s="350" t="str">
        <x:f>IF(F95="","",F95/60)</x:f>
      </x:c>
      <x:c r="H95" s="267" t="str"/>
      <x:c r="I95" s="345" t="str"/>
      <x:c r="J95" s="345" t="str"/>
    </x:row>
    <x:row r="96">
      <x:c r="A96" s="344"/>
      <x:c r="B96" s="267" t="str">
        <x:f>IF(A96="","",MAX(1,MIN('Setup'!$B$8,INT((A96-'Setup'!$B$6)/7)+1)))</x:f>
      </x:c>
      <x:c r="C96" s="345" t="str"/>
      <x:c r="D96" s="345" t="str"/>
      <x:c r="E96" s="345" t="str"/>
      <x:c r="F96" s="349"/>
      <x:c r="G96" s="350" t="str">
        <x:f>IF(F96="","",F96/60)</x:f>
      </x:c>
      <x:c r="H96" s="267" t="str"/>
      <x:c r="I96" s="345" t="str"/>
      <x:c r="J96" s="345" t="str"/>
    </x:row>
    <x:row r="97">
      <x:c r="A97" s="344"/>
      <x:c r="B97" s="267" t="str">
        <x:f>IF(A97="","",MAX(1,MIN('Setup'!$B$8,INT((A97-'Setup'!$B$6)/7)+1)))</x:f>
      </x:c>
      <x:c r="C97" s="345" t="str"/>
      <x:c r="D97" s="345" t="str"/>
      <x:c r="E97" s="345" t="str"/>
      <x:c r="F97" s="349"/>
      <x:c r="G97" s="350" t="str">
        <x:f>IF(F97="","",F97/60)</x:f>
      </x:c>
      <x:c r="H97" s="267" t="str"/>
      <x:c r="I97" s="345" t="str"/>
      <x:c r="J97" s="345" t="str"/>
    </x:row>
    <x:row r="98">
      <x:c r="A98" s="344"/>
      <x:c r="B98" s="267" t="str">
        <x:f>IF(A98="","",MAX(1,MIN('Setup'!$B$8,INT((A98-'Setup'!$B$6)/7)+1)))</x:f>
      </x:c>
      <x:c r="C98" s="345" t="str"/>
      <x:c r="D98" s="345" t="str"/>
      <x:c r="E98" s="345" t="str"/>
      <x:c r="F98" s="349"/>
      <x:c r="G98" s="350" t="str">
        <x:f>IF(F98="","",F98/60)</x:f>
      </x:c>
      <x:c r="H98" s="267" t="str"/>
      <x:c r="I98" s="345" t="str"/>
      <x:c r="J98" s="345" t="str"/>
    </x:row>
    <x:row r="99">
      <x:c r="A99" s="344"/>
      <x:c r="B99" s="267" t="str">
        <x:f>IF(A99="","",MAX(1,MIN('Setup'!$B$8,INT((A99-'Setup'!$B$6)/7)+1)))</x:f>
      </x:c>
      <x:c r="C99" s="345" t="str"/>
      <x:c r="D99" s="345" t="str"/>
      <x:c r="E99" s="345" t="str"/>
      <x:c r="F99" s="349"/>
      <x:c r="G99" s="350" t="str">
        <x:f>IF(F99="","",F99/60)</x:f>
      </x:c>
      <x:c r="H99" s="267" t="str"/>
      <x:c r="I99" s="345" t="str"/>
      <x:c r="J99" s="345" t="str"/>
    </x:row>
    <x:row r="100">
      <x:c r="A100" s="344"/>
      <x:c r="B100" s="267" t="str">
        <x:f>IF(A100="","",MAX(1,MIN('Setup'!$B$8,INT((A100-'Setup'!$B$6)/7)+1)))</x:f>
      </x:c>
      <x:c r="C100" s="345" t="str"/>
      <x:c r="D100" s="345" t="str"/>
      <x:c r="E100" s="345" t="str"/>
      <x:c r="F100" s="349"/>
      <x:c r="G100" s="350" t="str">
        <x:f>IF(F100="","",F100/60)</x:f>
      </x:c>
      <x:c r="H100" s="267" t="str"/>
      <x:c r="I100" s="345" t="str"/>
      <x:c r="J100" s="345" t="str"/>
    </x:row>
    <x:row r="101">
      <x:c r="A101" s="344"/>
      <x:c r="B101" s="267" t="str">
        <x:f>IF(A101="","",MAX(1,MIN('Setup'!$B$8,INT((A101-'Setup'!$B$6)/7)+1)))</x:f>
      </x:c>
      <x:c r="C101" s="345" t="str"/>
      <x:c r="D101" s="345" t="str"/>
      <x:c r="E101" s="345" t="str"/>
      <x:c r="F101" s="349"/>
      <x:c r="G101" s="350" t="str">
        <x:f>IF(F101="","",F101/60)</x:f>
      </x:c>
      <x:c r="H101" s="267" t="str"/>
      <x:c r="I101" s="345" t="str"/>
      <x:c r="J101" s="345" t="str"/>
    </x:row>
    <x:row r="102">
      <x:c r="A102" s="344"/>
      <x:c r="B102" s="267" t="str">
        <x:f>IF(A102="","",MAX(1,MIN('Setup'!$B$8,INT((A102-'Setup'!$B$6)/7)+1)))</x:f>
      </x:c>
      <x:c r="C102" s="345" t="str"/>
      <x:c r="D102" s="345" t="str"/>
      <x:c r="E102" s="345" t="str"/>
      <x:c r="F102" s="349"/>
      <x:c r="G102" s="350" t="str">
        <x:f>IF(F102="","",F102/60)</x:f>
      </x:c>
      <x:c r="H102" s="267" t="str"/>
      <x:c r="I102" s="345" t="str"/>
      <x:c r="J102" s="345" t="str"/>
    </x:row>
    <x:row r="103">
      <x:c r="A103" s="344"/>
      <x:c r="B103" s="267" t="str">
        <x:f>IF(A103="","",MAX(1,MIN('Setup'!$B$8,INT((A103-'Setup'!$B$6)/7)+1)))</x:f>
      </x:c>
      <x:c r="C103" s="345" t="str"/>
      <x:c r="D103" s="345" t="str"/>
      <x:c r="E103" s="345" t="str"/>
      <x:c r="F103" s="349"/>
      <x:c r="G103" s="350" t="str">
        <x:f>IF(F103="","",F103/60)</x:f>
      </x:c>
      <x:c r="H103" s="267" t="str"/>
      <x:c r="I103" s="345" t="str"/>
      <x:c r="J103" s="345" t="str"/>
    </x:row>
    <x:row r="104">
      <x:c r="A104" s="344"/>
      <x:c r="B104" s="267" t="str">
        <x:f>IF(A104="","",MAX(1,MIN('Setup'!$B$8,INT((A104-'Setup'!$B$6)/7)+1)))</x:f>
      </x:c>
      <x:c r="C104" s="345" t="str"/>
      <x:c r="D104" s="345" t="str"/>
      <x:c r="E104" s="345" t="str"/>
      <x:c r="F104" s="349"/>
      <x:c r="G104" s="350" t="str">
        <x:f>IF(F104="","",F104/60)</x:f>
      </x:c>
      <x:c r="H104" s="267" t="str"/>
      <x:c r="I104" s="345" t="str"/>
      <x:c r="J104" s="345" t="str"/>
    </x:row>
    <x:row r="105">
      <x:c r="A105" s="344"/>
      <x:c r="B105" s="267" t="str">
        <x:f>IF(A105="","",MAX(1,MIN('Setup'!$B$8,INT((A105-'Setup'!$B$6)/7)+1)))</x:f>
      </x:c>
      <x:c r="C105" s="345" t="str"/>
      <x:c r="D105" s="345" t="str"/>
      <x:c r="E105" s="345" t="str"/>
      <x:c r="F105" s="349"/>
      <x:c r="G105" s="350" t="str">
        <x:f>IF(F105="","",F105/60)</x:f>
      </x:c>
      <x:c r="H105" s="267" t="str"/>
      <x:c r="I105" s="345" t="str"/>
      <x:c r="J105" s="345" t="str"/>
    </x:row>
    <x:row r="106">
      <x:c r="A106" s="344"/>
      <x:c r="B106" s="267" t="str">
        <x:f>IF(A106="","",MAX(1,MIN('Setup'!$B$8,INT((A106-'Setup'!$B$6)/7)+1)))</x:f>
      </x:c>
      <x:c r="C106" s="345" t="str"/>
      <x:c r="D106" s="345" t="str"/>
      <x:c r="E106" s="345" t="str"/>
      <x:c r="F106" s="349"/>
      <x:c r="G106" s="350" t="str">
        <x:f>IF(F106="","",F106/60)</x:f>
      </x:c>
      <x:c r="H106" s="267" t="str"/>
      <x:c r="I106" s="345" t="str"/>
      <x:c r="J106" s="345" t="str"/>
    </x:row>
    <x:row r="107">
      <x:c r="A107" s="344"/>
      <x:c r="B107" s="267" t="str">
        <x:f>IF(A107="","",MAX(1,MIN('Setup'!$B$8,INT((A107-'Setup'!$B$6)/7)+1)))</x:f>
      </x:c>
      <x:c r="C107" s="345" t="str"/>
      <x:c r="D107" s="345" t="str"/>
      <x:c r="E107" s="345" t="str"/>
      <x:c r="F107" s="349"/>
      <x:c r="G107" s="350" t="str">
        <x:f>IF(F107="","",F107/60)</x:f>
      </x:c>
      <x:c r="H107" s="267" t="str"/>
      <x:c r="I107" s="345" t="str"/>
      <x:c r="J107" s="345" t="str"/>
    </x:row>
    <x:row r="108">
      <x:c r="A108" s="344"/>
      <x:c r="B108" s="267" t="str">
        <x:f>IF(A108="","",MAX(1,MIN('Setup'!$B$8,INT((A108-'Setup'!$B$6)/7)+1)))</x:f>
      </x:c>
      <x:c r="C108" s="345" t="str"/>
      <x:c r="D108" s="345" t="str"/>
      <x:c r="E108" s="345" t="str"/>
      <x:c r="F108" s="349"/>
      <x:c r="G108" s="350" t="str">
        <x:f>IF(F108="","",F108/60)</x:f>
      </x:c>
      <x:c r="H108" s="267" t="str"/>
      <x:c r="I108" s="345" t="str"/>
      <x:c r="J108" s="345" t="str"/>
    </x:row>
    <x:row r="109">
      <x:c r="A109" s="344"/>
      <x:c r="B109" s="267" t="str">
        <x:f>IF(A109="","",MAX(1,MIN('Setup'!$B$8,INT((A109-'Setup'!$B$6)/7)+1)))</x:f>
      </x:c>
      <x:c r="C109" s="345" t="str"/>
      <x:c r="D109" s="345" t="str"/>
      <x:c r="E109" s="345" t="str"/>
      <x:c r="F109" s="349"/>
      <x:c r="G109" s="350" t="str">
        <x:f>IF(F109="","",F109/60)</x:f>
      </x:c>
      <x:c r="H109" s="267" t="str"/>
      <x:c r="I109" s="345" t="str"/>
      <x:c r="J109" s="345" t="str"/>
    </x:row>
    <x:row r="110">
      <x:c r="A110" s="344"/>
      <x:c r="B110" s="267" t="str">
        <x:f>IF(A110="","",MAX(1,MIN('Setup'!$B$8,INT((A110-'Setup'!$B$6)/7)+1)))</x:f>
      </x:c>
      <x:c r="C110" s="345" t="str"/>
      <x:c r="D110" s="345" t="str"/>
      <x:c r="E110" s="345" t="str"/>
      <x:c r="F110" s="349"/>
      <x:c r="G110" s="350" t="str">
        <x:f>IF(F110="","",F110/60)</x:f>
      </x:c>
      <x:c r="H110" s="267" t="str"/>
      <x:c r="I110" s="345" t="str"/>
      <x:c r="J110" s="345" t="str"/>
    </x:row>
    <x:row r="111">
      <x:c r="A111" s="344"/>
      <x:c r="B111" s="267" t="str">
        <x:f>IF(A111="","",MAX(1,MIN('Setup'!$B$8,INT((A111-'Setup'!$B$6)/7)+1)))</x:f>
      </x:c>
      <x:c r="C111" s="345" t="str"/>
      <x:c r="D111" s="345" t="str"/>
      <x:c r="E111" s="345" t="str"/>
      <x:c r="F111" s="349"/>
      <x:c r="G111" s="350" t="str">
        <x:f>IF(F111="","",F111/60)</x:f>
      </x:c>
      <x:c r="H111" s="267" t="str"/>
      <x:c r="I111" s="345" t="str"/>
      <x:c r="J111" s="345" t="str"/>
    </x:row>
    <x:row r="112">
      <x:c r="A112" s="344"/>
      <x:c r="B112" s="267" t="str">
        <x:f>IF(A112="","",MAX(1,MIN('Setup'!$B$8,INT((A112-'Setup'!$B$6)/7)+1)))</x:f>
      </x:c>
      <x:c r="C112" s="345" t="str"/>
      <x:c r="D112" s="345" t="str"/>
      <x:c r="E112" s="345" t="str"/>
      <x:c r="F112" s="349"/>
      <x:c r="G112" s="350" t="str">
        <x:f>IF(F112="","",F112/60)</x:f>
      </x:c>
      <x:c r="H112" s="267" t="str"/>
      <x:c r="I112" s="345" t="str"/>
      <x:c r="J112" s="345" t="str"/>
    </x:row>
    <x:row r="113">
      <x:c r="A113" s="344"/>
      <x:c r="B113" s="267" t="str">
        <x:f>IF(A113="","",MAX(1,MIN('Setup'!$B$8,INT((A113-'Setup'!$B$6)/7)+1)))</x:f>
      </x:c>
      <x:c r="C113" s="345" t="str"/>
      <x:c r="D113" s="345" t="str"/>
      <x:c r="E113" s="345" t="str"/>
      <x:c r="F113" s="349"/>
      <x:c r="G113" s="350" t="str">
        <x:f>IF(F113="","",F113/60)</x:f>
      </x:c>
      <x:c r="H113" s="267" t="str"/>
      <x:c r="I113" s="345" t="str"/>
      <x:c r="J113" s="345" t="str"/>
    </x:row>
    <x:row r="114">
      <x:c r="A114" s="344"/>
      <x:c r="B114" s="267" t="str">
        <x:f>IF(A114="","",MAX(1,MIN('Setup'!$B$8,INT((A114-'Setup'!$B$6)/7)+1)))</x:f>
      </x:c>
      <x:c r="C114" s="345" t="str"/>
      <x:c r="D114" s="345" t="str"/>
      <x:c r="E114" s="345" t="str"/>
      <x:c r="F114" s="349"/>
      <x:c r="G114" s="350" t="str">
        <x:f>IF(F114="","",F114/60)</x:f>
      </x:c>
      <x:c r="H114" s="267" t="str"/>
      <x:c r="I114" s="345" t="str"/>
      <x:c r="J114" s="345" t="str"/>
    </x:row>
    <x:row r="115">
      <x:c r="A115" s="344"/>
      <x:c r="B115" s="267" t="str">
        <x:f>IF(A115="","",MAX(1,MIN('Setup'!$B$8,INT((A115-'Setup'!$B$6)/7)+1)))</x:f>
      </x:c>
      <x:c r="C115" s="345" t="str"/>
      <x:c r="D115" s="345" t="str"/>
      <x:c r="E115" s="345" t="str"/>
      <x:c r="F115" s="349"/>
      <x:c r="G115" s="350" t="str">
        <x:f>IF(F115="","",F115/60)</x:f>
      </x:c>
      <x:c r="H115" s="267" t="str"/>
      <x:c r="I115" s="345" t="str"/>
      <x:c r="J115" s="345" t="str"/>
    </x:row>
    <x:row r="116">
      <x:c r="A116" s="344"/>
      <x:c r="B116" s="267" t="str">
        <x:f>IF(A116="","",MAX(1,MIN('Setup'!$B$8,INT((A116-'Setup'!$B$6)/7)+1)))</x:f>
      </x:c>
      <x:c r="C116" s="345" t="str"/>
      <x:c r="D116" s="345" t="str"/>
      <x:c r="E116" s="345" t="str"/>
      <x:c r="F116" s="349"/>
      <x:c r="G116" s="350" t="str">
        <x:f>IF(F116="","",F116/60)</x:f>
      </x:c>
      <x:c r="H116" s="267" t="str"/>
      <x:c r="I116" s="345" t="str"/>
      <x:c r="J116" s="345" t="str"/>
    </x:row>
    <x:row r="117">
      <x:c r="A117" s="344"/>
      <x:c r="B117" s="267" t="str">
        <x:f>IF(A117="","",MAX(1,MIN('Setup'!$B$8,INT((A117-'Setup'!$B$6)/7)+1)))</x:f>
      </x:c>
      <x:c r="C117" s="345" t="str"/>
      <x:c r="D117" s="345" t="str"/>
      <x:c r="E117" s="345" t="str"/>
      <x:c r="F117" s="349"/>
      <x:c r="G117" s="350" t="str">
        <x:f>IF(F117="","",F117/60)</x:f>
      </x:c>
      <x:c r="H117" s="267" t="str"/>
      <x:c r="I117" s="345" t="str"/>
      <x:c r="J117" s="345" t="str"/>
    </x:row>
    <x:row r="118">
      <x:c r="A118" s="344"/>
      <x:c r="B118" s="267" t="str">
        <x:f>IF(A118="","",MAX(1,MIN('Setup'!$B$8,INT((A118-'Setup'!$B$6)/7)+1)))</x:f>
      </x:c>
      <x:c r="C118" s="345" t="str"/>
      <x:c r="D118" s="345" t="str"/>
      <x:c r="E118" s="345" t="str"/>
      <x:c r="F118" s="349"/>
      <x:c r="G118" s="350" t="str">
        <x:f>IF(F118="","",F118/60)</x:f>
      </x:c>
      <x:c r="H118" s="267" t="str"/>
      <x:c r="I118" s="345" t="str"/>
      <x:c r="J118" s="345" t="str"/>
    </x:row>
    <x:row r="119">
      <x:c r="A119" s="344"/>
      <x:c r="B119" s="267" t="str">
        <x:f>IF(A119="","",MAX(1,MIN('Setup'!$B$8,INT((A119-'Setup'!$B$6)/7)+1)))</x:f>
      </x:c>
      <x:c r="C119" s="345" t="str"/>
      <x:c r="D119" s="345" t="str"/>
      <x:c r="E119" s="345" t="str"/>
      <x:c r="F119" s="349"/>
      <x:c r="G119" s="350" t="str">
        <x:f>IF(F119="","",F119/60)</x:f>
      </x:c>
      <x:c r="H119" s="267" t="str"/>
      <x:c r="I119" s="345" t="str"/>
      <x:c r="J119" s="345" t="str"/>
    </x:row>
    <x:row r="120">
      <x:c r="A120" s="344"/>
      <x:c r="B120" s="267" t="str">
        <x:f>IF(A120="","",MAX(1,MIN('Setup'!$B$8,INT((A120-'Setup'!$B$6)/7)+1)))</x:f>
      </x:c>
      <x:c r="C120" s="345" t="str"/>
      <x:c r="D120" s="345" t="str"/>
      <x:c r="E120" s="345" t="str"/>
      <x:c r="F120" s="349"/>
      <x:c r="G120" s="350" t="str">
        <x:f>IF(F120="","",F120/60)</x:f>
      </x:c>
      <x:c r="H120" s="267" t="str"/>
      <x:c r="I120" s="345" t="str"/>
      <x:c r="J120" s="345" t="str"/>
    </x:row>
    <x:row r="121">
      <x:c r="A121" s="344"/>
      <x:c r="B121" s="267" t="str">
        <x:f>IF(A121="","",MAX(1,MIN('Setup'!$B$8,INT((A121-'Setup'!$B$6)/7)+1)))</x:f>
      </x:c>
      <x:c r="C121" s="345" t="str"/>
      <x:c r="D121" s="345" t="str"/>
      <x:c r="E121" s="345" t="str"/>
      <x:c r="F121" s="349"/>
      <x:c r="G121" s="350" t="str">
        <x:f>IF(F121="","",F121/60)</x:f>
      </x:c>
      <x:c r="H121" s="267" t="str"/>
      <x:c r="I121" s="345" t="str"/>
      <x:c r="J121" s="345" t="str"/>
    </x:row>
    <x:row r="122">
      <x:c r="A122" s="344"/>
      <x:c r="B122" s="267" t="str">
        <x:f>IF(A122="","",MAX(1,MIN('Setup'!$B$8,INT((A122-'Setup'!$B$6)/7)+1)))</x:f>
      </x:c>
      <x:c r="C122" s="345" t="str"/>
      <x:c r="D122" s="345" t="str"/>
      <x:c r="E122" s="345" t="str"/>
      <x:c r="F122" s="349"/>
      <x:c r="G122" s="350" t="str">
        <x:f>IF(F122="","",F122/60)</x:f>
      </x:c>
      <x:c r="H122" s="267" t="str"/>
      <x:c r="I122" s="345" t="str"/>
      <x:c r="J122" s="345" t="str"/>
    </x:row>
    <x:row r="123">
      <x:c r="A123" s="344"/>
      <x:c r="B123" s="267" t="str">
        <x:f>IF(A123="","",MAX(1,MIN('Setup'!$B$8,INT((A123-'Setup'!$B$6)/7)+1)))</x:f>
      </x:c>
      <x:c r="C123" s="345" t="str"/>
      <x:c r="D123" s="345" t="str"/>
      <x:c r="E123" s="345" t="str"/>
      <x:c r="F123" s="349"/>
      <x:c r="G123" s="350" t="str">
        <x:f>IF(F123="","",F123/60)</x:f>
      </x:c>
      <x:c r="H123" s="267" t="str"/>
      <x:c r="I123" s="345" t="str"/>
      <x:c r="J123" s="345" t="str"/>
    </x:row>
    <x:row r="124">
      <x:c r="A124" s="344"/>
      <x:c r="B124" s="267" t="str">
        <x:f>IF(A124="","",MAX(1,MIN('Setup'!$B$8,INT((A124-'Setup'!$B$6)/7)+1)))</x:f>
      </x:c>
      <x:c r="C124" s="345" t="str"/>
      <x:c r="D124" s="345" t="str"/>
      <x:c r="E124" s="345" t="str"/>
      <x:c r="F124" s="349"/>
      <x:c r="G124" s="350" t="str">
        <x:f>IF(F124="","",F124/60)</x:f>
      </x:c>
      <x:c r="H124" s="267" t="str"/>
      <x:c r="I124" s="345" t="str"/>
      <x:c r="J124" s="345" t="str"/>
    </x:row>
    <x:row r="125">
      <x:c r="A125" s="344"/>
      <x:c r="B125" s="267" t="str">
        <x:f>IF(A125="","",MAX(1,MIN('Setup'!$B$8,INT((A125-'Setup'!$B$6)/7)+1)))</x:f>
      </x:c>
      <x:c r="C125" s="345" t="str"/>
      <x:c r="D125" s="345" t="str"/>
      <x:c r="E125" s="345" t="str"/>
      <x:c r="F125" s="349"/>
      <x:c r="G125" s="350" t="str">
        <x:f>IF(F125="","",F125/60)</x:f>
      </x:c>
      <x:c r="H125" s="267" t="str"/>
      <x:c r="I125" s="345" t="str"/>
      <x:c r="J125" s="345" t="str"/>
    </x:row>
    <x:row r="126">
      <x:c r="A126" s="344"/>
      <x:c r="B126" s="267" t="str">
        <x:f>IF(A126="","",MAX(1,MIN('Setup'!$B$8,INT((A126-'Setup'!$B$6)/7)+1)))</x:f>
      </x:c>
      <x:c r="C126" s="345" t="str"/>
      <x:c r="D126" s="345" t="str"/>
      <x:c r="E126" s="345" t="str"/>
      <x:c r="F126" s="349"/>
      <x:c r="G126" s="350" t="str">
        <x:f>IF(F126="","",F126/60)</x:f>
      </x:c>
      <x:c r="H126" s="267" t="str"/>
      <x:c r="I126" s="345" t="str"/>
      <x:c r="J126" s="345" t="str"/>
    </x:row>
    <x:row r="127">
      <x:c r="A127" s="344"/>
      <x:c r="B127" s="267" t="str">
        <x:f>IF(A127="","",MAX(1,MIN('Setup'!$B$8,INT((A127-'Setup'!$B$6)/7)+1)))</x:f>
      </x:c>
      <x:c r="C127" s="345" t="str"/>
      <x:c r="D127" s="345" t="str"/>
      <x:c r="E127" s="345" t="str"/>
      <x:c r="F127" s="349"/>
      <x:c r="G127" s="350" t="str">
        <x:f>IF(F127="","",F127/60)</x:f>
      </x:c>
      <x:c r="H127" s="267" t="str"/>
      <x:c r="I127" s="345" t="str"/>
      <x:c r="J127" s="345" t="str"/>
    </x:row>
    <x:row r="128">
      <x:c r="A128" s="344"/>
      <x:c r="B128" s="267" t="str">
        <x:f>IF(A128="","",MAX(1,MIN('Setup'!$B$8,INT((A128-'Setup'!$B$6)/7)+1)))</x:f>
      </x:c>
      <x:c r="C128" s="345" t="str"/>
      <x:c r="D128" s="345" t="str"/>
      <x:c r="E128" s="345" t="str"/>
      <x:c r="F128" s="349"/>
      <x:c r="G128" s="350" t="str">
        <x:f>IF(F128="","",F128/60)</x:f>
      </x:c>
      <x:c r="H128" s="267" t="str"/>
      <x:c r="I128" s="345" t="str"/>
      <x:c r="J128" s="345" t="str"/>
    </x:row>
    <x:row r="129">
      <x:c r="A129" s="344"/>
      <x:c r="B129" s="267" t="str">
        <x:f>IF(A129="","",MAX(1,MIN('Setup'!$B$8,INT((A129-'Setup'!$B$6)/7)+1)))</x:f>
      </x:c>
      <x:c r="C129" s="345" t="str"/>
      <x:c r="D129" s="345" t="str"/>
      <x:c r="E129" s="345" t="str"/>
      <x:c r="F129" s="349"/>
      <x:c r="G129" s="350" t="str">
        <x:f>IF(F129="","",F129/60)</x:f>
      </x:c>
      <x:c r="H129" s="267" t="str"/>
      <x:c r="I129" s="345" t="str"/>
      <x:c r="J129" s="345" t="str"/>
    </x:row>
    <x:row r="130">
      <x:c r="A130" s="344"/>
      <x:c r="B130" s="267" t="str">
        <x:f>IF(A130="","",MAX(1,MIN('Setup'!$B$8,INT((A130-'Setup'!$B$6)/7)+1)))</x:f>
      </x:c>
      <x:c r="C130" s="345" t="str"/>
      <x:c r="D130" s="345" t="str"/>
      <x:c r="E130" s="345" t="str"/>
      <x:c r="F130" s="349"/>
      <x:c r="G130" s="350" t="str">
        <x:f>IF(F130="","",F130/60)</x:f>
      </x:c>
      <x:c r="H130" s="267" t="str"/>
      <x:c r="I130" s="345" t="str"/>
      <x:c r="J130" s="345" t="str"/>
    </x:row>
    <x:row r="131">
      <x:c r="A131" s="344"/>
      <x:c r="B131" s="267" t="str">
        <x:f>IF(A131="","",MAX(1,MIN('Setup'!$B$8,INT((A131-'Setup'!$B$6)/7)+1)))</x:f>
      </x:c>
      <x:c r="C131" s="345" t="str"/>
      <x:c r="D131" s="345" t="str"/>
      <x:c r="E131" s="345" t="str"/>
      <x:c r="F131" s="349"/>
      <x:c r="G131" s="350" t="str">
        <x:f>IF(F131="","",F131/60)</x:f>
      </x:c>
      <x:c r="H131" s="267" t="str"/>
      <x:c r="I131" s="345" t="str"/>
      <x:c r="J131" s="345" t="str"/>
    </x:row>
    <x:row r="132">
      <x:c r="A132" s="344"/>
      <x:c r="B132" s="267" t="str">
        <x:f>IF(A132="","",MAX(1,MIN('Setup'!$B$8,INT((A132-'Setup'!$B$6)/7)+1)))</x:f>
      </x:c>
      <x:c r="C132" s="345" t="str"/>
      <x:c r="D132" s="345" t="str"/>
      <x:c r="E132" s="345" t="str"/>
      <x:c r="F132" s="349"/>
      <x:c r="G132" s="350" t="str">
        <x:f>IF(F132="","",F132/60)</x:f>
      </x:c>
      <x:c r="H132" s="267" t="str"/>
      <x:c r="I132" s="345" t="str"/>
      <x:c r="J132" s="345" t="str"/>
    </x:row>
    <x:row r="133">
      <x:c r="A133" s="344"/>
      <x:c r="B133" s="267" t="str">
        <x:f>IF(A133="","",MAX(1,MIN('Setup'!$B$8,INT((A133-'Setup'!$B$6)/7)+1)))</x:f>
      </x:c>
      <x:c r="C133" s="345" t="str"/>
      <x:c r="D133" s="345" t="str"/>
      <x:c r="E133" s="345" t="str"/>
      <x:c r="F133" s="349"/>
      <x:c r="G133" s="350" t="str">
        <x:f>IF(F133="","",F133/60)</x:f>
      </x:c>
      <x:c r="H133" s="267" t="str"/>
      <x:c r="I133" s="345" t="str"/>
      <x:c r="J133" s="345" t="str"/>
    </x:row>
    <x:row r="134">
      <x:c r="A134" s="344"/>
      <x:c r="B134" s="267" t="str">
        <x:f>IF(A134="","",MAX(1,MIN('Setup'!$B$8,INT((A134-'Setup'!$B$6)/7)+1)))</x:f>
      </x:c>
      <x:c r="C134" s="345" t="str"/>
      <x:c r="D134" s="345" t="str"/>
      <x:c r="E134" s="345" t="str"/>
      <x:c r="F134" s="349"/>
      <x:c r="G134" s="350" t="str">
        <x:f>IF(F134="","",F134/60)</x:f>
      </x:c>
      <x:c r="H134" s="267" t="str"/>
      <x:c r="I134" s="345" t="str"/>
      <x:c r="J134" s="345" t="str"/>
    </x:row>
    <x:row r="135">
      <x:c r="A135" s="344"/>
      <x:c r="B135" s="267" t="str">
        <x:f>IF(A135="","",MAX(1,MIN('Setup'!$B$8,INT((A135-'Setup'!$B$6)/7)+1)))</x:f>
      </x:c>
      <x:c r="C135" s="345" t="str"/>
      <x:c r="D135" s="345" t="str"/>
      <x:c r="E135" s="345" t="str"/>
      <x:c r="F135" s="349"/>
      <x:c r="G135" s="350" t="str">
        <x:f>IF(F135="","",F135/60)</x:f>
      </x:c>
      <x:c r="H135" s="267" t="str"/>
      <x:c r="I135" s="345" t="str"/>
      <x:c r="J135" s="345" t="str"/>
    </x:row>
    <x:row r="136">
      <x:c r="A136" s="344"/>
      <x:c r="B136" s="267" t="str">
        <x:f>IF(A136="","",MAX(1,MIN('Setup'!$B$8,INT((A136-'Setup'!$B$6)/7)+1)))</x:f>
      </x:c>
      <x:c r="C136" s="345" t="str"/>
      <x:c r="D136" s="345" t="str"/>
      <x:c r="E136" s="345" t="str"/>
      <x:c r="F136" s="349"/>
      <x:c r="G136" s="350" t="str">
        <x:f>IF(F136="","",F136/60)</x:f>
      </x:c>
      <x:c r="H136" s="267" t="str"/>
      <x:c r="I136" s="345" t="str"/>
      <x:c r="J136" s="345" t="str"/>
    </x:row>
    <x:row r="137">
      <x:c r="A137" s="344"/>
      <x:c r="B137" s="267" t="str">
        <x:f>IF(A137="","",MAX(1,MIN('Setup'!$B$8,INT((A137-'Setup'!$B$6)/7)+1)))</x:f>
      </x:c>
      <x:c r="C137" s="345" t="str"/>
      <x:c r="D137" s="345" t="str"/>
      <x:c r="E137" s="345" t="str"/>
      <x:c r="F137" s="349"/>
      <x:c r="G137" s="350" t="str">
        <x:f>IF(F137="","",F137/60)</x:f>
      </x:c>
      <x:c r="H137" s="267" t="str"/>
      <x:c r="I137" s="345" t="str"/>
      <x:c r="J137" s="345" t="str"/>
    </x:row>
    <x:row r="138">
      <x:c r="A138" s="344"/>
      <x:c r="B138" s="267" t="str">
        <x:f>IF(A138="","",MAX(1,MIN('Setup'!$B$8,INT((A138-'Setup'!$B$6)/7)+1)))</x:f>
      </x:c>
      <x:c r="C138" s="345" t="str"/>
      <x:c r="D138" s="345" t="str"/>
      <x:c r="E138" s="345" t="str"/>
      <x:c r="F138" s="349"/>
      <x:c r="G138" s="350" t="str">
        <x:f>IF(F138="","",F138/60)</x:f>
      </x:c>
      <x:c r="H138" s="267" t="str"/>
      <x:c r="I138" s="345" t="str"/>
      <x:c r="J138" s="345" t="str"/>
    </x:row>
    <x:row r="139">
      <x:c r="A139" s="344"/>
      <x:c r="B139" s="267" t="str">
        <x:f>IF(A139="","",MAX(1,MIN('Setup'!$B$8,INT((A139-'Setup'!$B$6)/7)+1)))</x:f>
      </x:c>
      <x:c r="C139" s="345" t="str"/>
      <x:c r="D139" s="345" t="str"/>
      <x:c r="E139" s="345" t="str"/>
      <x:c r="F139" s="349"/>
      <x:c r="G139" s="350" t="str">
        <x:f>IF(F139="","",F139/60)</x:f>
      </x:c>
      <x:c r="H139" s="267" t="str"/>
      <x:c r="I139" s="345" t="str"/>
      <x:c r="J139" s="345" t="str"/>
    </x:row>
    <x:row r="140">
      <x:c r="A140" s="344"/>
      <x:c r="B140" s="267" t="str">
        <x:f>IF(A140="","",MAX(1,MIN('Setup'!$B$8,INT((A140-'Setup'!$B$6)/7)+1)))</x:f>
      </x:c>
      <x:c r="C140" s="345" t="str"/>
      <x:c r="D140" s="345" t="str"/>
      <x:c r="E140" s="345" t="str"/>
      <x:c r="F140" s="349"/>
      <x:c r="G140" s="350" t="str">
        <x:f>IF(F140="","",F140/60)</x:f>
      </x:c>
      <x:c r="H140" s="267" t="str"/>
      <x:c r="I140" s="345" t="str"/>
      <x:c r="J140" s="345" t="str"/>
    </x:row>
    <x:row r="141">
      <x:c r="A141" s="344"/>
      <x:c r="B141" s="267" t="str">
        <x:f>IF(A141="","",MAX(1,MIN('Setup'!$B$8,INT((A141-'Setup'!$B$6)/7)+1)))</x:f>
      </x:c>
      <x:c r="C141" s="345" t="str"/>
      <x:c r="D141" s="345" t="str"/>
      <x:c r="E141" s="345" t="str"/>
      <x:c r="F141" s="349"/>
      <x:c r="G141" s="350" t="str">
        <x:f>IF(F141="","",F141/60)</x:f>
      </x:c>
      <x:c r="H141" s="267" t="str"/>
      <x:c r="I141" s="345" t="str"/>
      <x:c r="J141" s="345" t="str"/>
    </x:row>
    <x:row r="142">
      <x:c r="A142" s="344"/>
      <x:c r="B142" s="267" t="str">
        <x:f>IF(A142="","",MAX(1,MIN('Setup'!$B$8,INT((A142-'Setup'!$B$6)/7)+1)))</x:f>
      </x:c>
      <x:c r="C142" s="345" t="str"/>
      <x:c r="D142" s="345" t="str"/>
      <x:c r="E142" s="345" t="str"/>
      <x:c r="F142" s="349"/>
      <x:c r="G142" s="350" t="str">
        <x:f>IF(F142="","",F142/60)</x:f>
      </x:c>
      <x:c r="H142" s="267" t="str"/>
      <x:c r="I142" s="345" t="str"/>
      <x:c r="J142" s="345" t="str"/>
    </x:row>
    <x:row r="143">
      <x:c r="A143" s="344"/>
      <x:c r="B143" s="267" t="str">
        <x:f>IF(A143="","",MAX(1,MIN('Setup'!$B$8,INT((A143-'Setup'!$B$6)/7)+1)))</x:f>
      </x:c>
      <x:c r="C143" s="345" t="str"/>
      <x:c r="D143" s="345" t="str"/>
      <x:c r="E143" s="345" t="str"/>
      <x:c r="F143" s="349"/>
      <x:c r="G143" s="350" t="str">
        <x:f>IF(F143="","",F143/60)</x:f>
      </x:c>
      <x:c r="H143" s="267" t="str"/>
      <x:c r="I143" s="345" t="str"/>
      <x:c r="J143" s="345" t="str"/>
    </x:row>
    <x:row r="144">
      <x:c r="A144" s="344"/>
      <x:c r="B144" s="267" t="str">
        <x:f>IF(A144="","",MAX(1,MIN('Setup'!$B$8,INT((A144-'Setup'!$B$6)/7)+1)))</x:f>
      </x:c>
      <x:c r="C144" s="345" t="str"/>
      <x:c r="D144" s="345" t="str"/>
      <x:c r="E144" s="345" t="str"/>
      <x:c r="F144" s="349"/>
      <x:c r="G144" s="350" t="str">
        <x:f>IF(F144="","",F144/60)</x:f>
      </x:c>
      <x:c r="H144" s="267" t="str"/>
      <x:c r="I144" s="345" t="str"/>
      <x:c r="J144" s="345" t="str"/>
    </x:row>
    <x:row r="145">
      <x:c r="A145" s="344"/>
      <x:c r="B145" s="267" t="str">
        <x:f>IF(A145="","",MAX(1,MIN('Setup'!$B$8,INT((A145-'Setup'!$B$6)/7)+1)))</x:f>
      </x:c>
      <x:c r="C145" s="345" t="str"/>
      <x:c r="D145" s="345" t="str"/>
      <x:c r="E145" s="345" t="str"/>
      <x:c r="F145" s="349"/>
      <x:c r="G145" s="350" t="str">
        <x:f>IF(F145="","",F145/60)</x:f>
      </x:c>
      <x:c r="H145" s="267" t="str"/>
      <x:c r="I145" s="345" t="str"/>
      <x:c r="J145" s="345" t="str"/>
    </x:row>
    <x:row r="146">
      <x:c r="A146" s="344"/>
      <x:c r="B146" s="267" t="str">
        <x:f>IF(A146="","",MAX(1,MIN('Setup'!$B$8,INT((A146-'Setup'!$B$6)/7)+1)))</x:f>
      </x:c>
      <x:c r="C146" s="345" t="str"/>
      <x:c r="D146" s="345" t="str"/>
      <x:c r="E146" s="345" t="str"/>
      <x:c r="F146" s="349"/>
      <x:c r="G146" s="350" t="str">
        <x:f>IF(F146="","",F146/60)</x:f>
      </x:c>
      <x:c r="H146" s="267" t="str"/>
      <x:c r="I146" s="345" t="str"/>
      <x:c r="J146" s="345" t="str"/>
    </x:row>
    <x:row r="147">
      <x:c r="A147" s="344"/>
      <x:c r="B147" s="267" t="str">
        <x:f>IF(A147="","",MAX(1,MIN('Setup'!$B$8,INT((A147-'Setup'!$B$6)/7)+1)))</x:f>
      </x:c>
      <x:c r="C147" s="345" t="str"/>
      <x:c r="D147" s="345" t="str"/>
      <x:c r="E147" s="345" t="str"/>
      <x:c r="F147" s="349"/>
      <x:c r="G147" s="350" t="str">
        <x:f>IF(F147="","",F147/60)</x:f>
      </x:c>
      <x:c r="H147" s="267" t="str"/>
      <x:c r="I147" s="345" t="str"/>
      <x:c r="J147" s="345" t="str"/>
    </x:row>
    <x:row r="148">
      <x:c r="A148" s="344"/>
      <x:c r="B148" s="267" t="str">
        <x:f>IF(A148="","",MAX(1,MIN('Setup'!$B$8,INT((A148-'Setup'!$B$6)/7)+1)))</x:f>
      </x:c>
      <x:c r="C148" s="345" t="str"/>
      <x:c r="D148" s="345" t="str"/>
      <x:c r="E148" s="345" t="str"/>
      <x:c r="F148" s="349"/>
      <x:c r="G148" s="350" t="str">
        <x:f>IF(F148="","",F148/60)</x:f>
      </x:c>
      <x:c r="H148" s="267" t="str"/>
      <x:c r="I148" s="345" t="str"/>
      <x:c r="J148" s="345" t="str"/>
    </x:row>
    <x:row r="149">
      <x:c r="A149" s="344"/>
      <x:c r="B149" s="267" t="str">
        <x:f>IF(A149="","",MAX(1,MIN('Setup'!$B$8,INT((A149-'Setup'!$B$6)/7)+1)))</x:f>
      </x:c>
      <x:c r="C149" s="345" t="str"/>
      <x:c r="D149" s="345" t="str"/>
      <x:c r="E149" s="345" t="str"/>
      <x:c r="F149" s="349"/>
      <x:c r="G149" s="350" t="str">
        <x:f>IF(F149="","",F149/60)</x:f>
      </x:c>
      <x:c r="H149" s="267" t="str"/>
      <x:c r="I149" s="345" t="str"/>
      <x:c r="J149" s="345" t="str"/>
    </x:row>
    <x:row r="150">
      <x:c r="A150" s="344"/>
      <x:c r="B150" s="267" t="str">
        <x:f>IF(A150="","",MAX(1,MIN('Setup'!$B$8,INT((A150-'Setup'!$B$6)/7)+1)))</x:f>
      </x:c>
      <x:c r="C150" s="345" t="str"/>
      <x:c r="D150" s="345" t="str"/>
      <x:c r="E150" s="345" t="str"/>
      <x:c r="F150" s="349"/>
      <x:c r="G150" s="350" t="str">
        <x:f>IF(F150="","",F150/60)</x:f>
      </x:c>
      <x:c r="H150" s="267" t="str"/>
      <x:c r="I150" s="345" t="str"/>
      <x:c r="J150" s="345" t="str"/>
    </x:row>
    <x:row r="151">
      <x:c r="A151" s="344"/>
      <x:c r="B151" s="267" t="str">
        <x:f>IF(A151="","",MAX(1,MIN('Setup'!$B$8,INT((A151-'Setup'!$B$6)/7)+1)))</x:f>
      </x:c>
      <x:c r="C151" s="345" t="str"/>
      <x:c r="D151" s="345" t="str"/>
      <x:c r="E151" s="345" t="str"/>
      <x:c r="F151" s="349"/>
      <x:c r="G151" s="350" t="str">
        <x:f>IF(F151="","",F151/60)</x:f>
      </x:c>
      <x:c r="H151" s="267" t="str"/>
      <x:c r="I151" s="345" t="str"/>
      <x:c r="J151" s="345" t="str"/>
    </x:row>
    <x:row r="152">
      <x:c r="A152" s="344"/>
      <x:c r="B152" s="267" t="str">
        <x:f>IF(A152="","",MAX(1,MIN('Setup'!$B$8,INT((A152-'Setup'!$B$6)/7)+1)))</x:f>
      </x:c>
      <x:c r="C152" s="345" t="str"/>
      <x:c r="D152" s="345" t="str"/>
      <x:c r="E152" s="345" t="str"/>
      <x:c r="F152" s="349"/>
      <x:c r="G152" s="350" t="str">
        <x:f>IF(F152="","",F152/60)</x:f>
      </x:c>
      <x:c r="H152" s="267" t="str"/>
      <x:c r="I152" s="345" t="str"/>
      <x:c r="J152" s="345" t="str"/>
    </x:row>
    <x:row r="153">
      <x:c r="A153" s="344"/>
      <x:c r="B153" s="267" t="str">
        <x:f>IF(A153="","",MAX(1,MIN('Setup'!$B$8,INT((A153-'Setup'!$B$6)/7)+1)))</x:f>
      </x:c>
      <x:c r="C153" s="345" t="str"/>
      <x:c r="D153" s="345" t="str"/>
      <x:c r="E153" s="345" t="str"/>
      <x:c r="F153" s="349"/>
      <x:c r="G153" s="350" t="str">
        <x:f>IF(F153="","",F153/60)</x:f>
      </x:c>
      <x:c r="H153" s="267" t="str"/>
      <x:c r="I153" s="345" t="str"/>
      <x:c r="J153" s="345" t="str"/>
    </x:row>
    <x:row r="154">
      <x:c r="A154" s="344"/>
      <x:c r="B154" s="267" t="str">
        <x:f>IF(A154="","",MAX(1,MIN('Setup'!$B$8,INT((A154-'Setup'!$B$6)/7)+1)))</x:f>
      </x:c>
      <x:c r="C154" s="345" t="str"/>
      <x:c r="D154" s="345" t="str"/>
      <x:c r="E154" s="345" t="str"/>
      <x:c r="F154" s="349"/>
      <x:c r="G154" s="350" t="str">
        <x:f>IF(F154="","",F154/60)</x:f>
      </x:c>
      <x:c r="H154" s="267" t="str"/>
      <x:c r="I154" s="345" t="str"/>
      <x:c r="J154" s="345" t="str"/>
    </x:row>
    <x:row r="155">
      <x:c r="A155" s="344"/>
      <x:c r="B155" s="267" t="str">
        <x:f>IF(A155="","",MAX(1,MIN('Setup'!$B$8,INT((A155-'Setup'!$B$6)/7)+1)))</x:f>
      </x:c>
      <x:c r="C155" s="345" t="str"/>
      <x:c r="D155" s="345" t="str"/>
      <x:c r="E155" s="345" t="str"/>
      <x:c r="F155" s="349"/>
      <x:c r="G155" s="350" t="str">
        <x:f>IF(F155="","",F155/60)</x:f>
      </x:c>
      <x:c r="H155" s="267" t="str"/>
      <x:c r="I155" s="345" t="str"/>
      <x:c r="J155" s="345" t="str"/>
    </x:row>
    <x:row r="156">
      <x:c r="A156" s="344"/>
      <x:c r="B156" s="267" t="str">
        <x:f>IF(A156="","",MAX(1,MIN('Setup'!$B$8,INT((A156-'Setup'!$B$6)/7)+1)))</x:f>
      </x:c>
      <x:c r="C156" s="345" t="str"/>
      <x:c r="D156" s="345" t="str"/>
      <x:c r="E156" s="345" t="str"/>
      <x:c r="F156" s="349"/>
      <x:c r="G156" s="350" t="str">
        <x:f>IF(F156="","",F156/60)</x:f>
      </x:c>
      <x:c r="H156" s="267" t="str"/>
      <x:c r="I156" s="345" t="str"/>
      <x:c r="J156" s="345" t="str"/>
    </x:row>
    <x:row r="157">
      <x:c r="A157" s="344"/>
      <x:c r="B157" s="267" t="str">
        <x:f>IF(A157="","",MAX(1,MIN('Setup'!$B$8,INT((A157-'Setup'!$B$6)/7)+1)))</x:f>
      </x:c>
      <x:c r="C157" s="345" t="str"/>
      <x:c r="D157" s="345" t="str"/>
      <x:c r="E157" s="345" t="str"/>
      <x:c r="F157" s="349"/>
      <x:c r="G157" s="350" t="str">
        <x:f>IF(F157="","",F157/60)</x:f>
      </x:c>
      <x:c r="H157" s="267" t="str"/>
      <x:c r="I157" s="345" t="str"/>
      <x:c r="J157" s="345" t="str"/>
    </x:row>
    <x:row r="158">
      <x:c r="A158" s="344"/>
      <x:c r="B158" s="267" t="str">
        <x:f>IF(A158="","",MAX(1,MIN('Setup'!$B$8,INT((A158-'Setup'!$B$6)/7)+1)))</x:f>
      </x:c>
      <x:c r="C158" s="345" t="str"/>
      <x:c r="D158" s="345" t="str"/>
      <x:c r="E158" s="345" t="str"/>
      <x:c r="F158" s="349"/>
      <x:c r="G158" s="350" t="str">
        <x:f>IF(F158="","",F158/60)</x:f>
      </x:c>
      <x:c r="H158" s="267" t="str"/>
      <x:c r="I158" s="345" t="str"/>
      <x:c r="J158" s="345" t="str"/>
    </x:row>
    <x:row r="159">
      <x:c r="A159" s="344"/>
      <x:c r="B159" s="267" t="str">
        <x:f>IF(A159="","",MAX(1,MIN('Setup'!$B$8,INT((A159-'Setup'!$B$6)/7)+1)))</x:f>
      </x:c>
      <x:c r="C159" s="345" t="str"/>
      <x:c r="D159" s="345" t="str"/>
      <x:c r="E159" s="345" t="str"/>
      <x:c r="F159" s="349"/>
      <x:c r="G159" s="350" t="str">
        <x:f>IF(F159="","",F159/60)</x:f>
      </x:c>
      <x:c r="H159" s="267" t="str"/>
      <x:c r="I159" s="345" t="str"/>
      <x:c r="J159" s="345" t="str"/>
    </x:row>
    <x:row r="160">
      <x:c r="A160" s="344"/>
      <x:c r="B160" s="267" t="str">
        <x:f>IF(A160="","",MAX(1,MIN('Setup'!$B$8,INT((A160-'Setup'!$B$6)/7)+1)))</x:f>
      </x:c>
      <x:c r="C160" s="345" t="str"/>
      <x:c r="D160" s="345" t="str"/>
      <x:c r="E160" s="345" t="str"/>
      <x:c r="F160" s="349"/>
      <x:c r="G160" s="350" t="str">
        <x:f>IF(F160="","",F160/60)</x:f>
      </x:c>
      <x:c r="H160" s="267" t="str"/>
      <x:c r="I160" s="345" t="str"/>
      <x:c r="J160" s="345" t="str"/>
    </x:row>
    <x:row r="161">
      <x:c r="A161" s="344"/>
      <x:c r="B161" s="267" t="str">
        <x:f>IF(A161="","",MAX(1,MIN('Setup'!$B$8,INT((A161-'Setup'!$B$6)/7)+1)))</x:f>
      </x:c>
      <x:c r="C161" s="345" t="str"/>
      <x:c r="D161" s="345" t="str"/>
      <x:c r="E161" s="345" t="str"/>
      <x:c r="F161" s="349"/>
      <x:c r="G161" s="350" t="str">
        <x:f>IF(F161="","",F161/60)</x:f>
      </x:c>
      <x:c r="H161" s="267" t="str"/>
      <x:c r="I161" s="345" t="str"/>
      <x:c r="J161" s="345" t="str"/>
    </x:row>
    <x:row r="162">
      <x:c r="A162" s="344"/>
      <x:c r="B162" s="267" t="str">
        <x:f>IF(A162="","",MAX(1,MIN('Setup'!$B$8,INT((A162-'Setup'!$B$6)/7)+1)))</x:f>
      </x:c>
      <x:c r="C162" s="345" t="str"/>
      <x:c r="D162" s="345" t="str"/>
      <x:c r="E162" s="345" t="str"/>
      <x:c r="F162" s="349"/>
      <x:c r="G162" s="350" t="str">
        <x:f>IF(F162="","",F162/60)</x:f>
      </x:c>
      <x:c r="H162" s="267" t="str"/>
      <x:c r="I162" s="345" t="str"/>
      <x:c r="J162" s="345" t="str"/>
    </x:row>
    <x:row r="163">
      <x:c r="A163" s="344"/>
      <x:c r="B163" s="267" t="str">
        <x:f>IF(A163="","",MAX(1,MIN('Setup'!$B$8,INT((A163-'Setup'!$B$6)/7)+1)))</x:f>
      </x:c>
      <x:c r="C163" s="345" t="str"/>
      <x:c r="D163" s="345" t="str"/>
      <x:c r="E163" s="345" t="str"/>
      <x:c r="F163" s="349"/>
      <x:c r="G163" s="350" t="str">
        <x:f>IF(F163="","",F163/60)</x:f>
      </x:c>
      <x:c r="H163" s="267" t="str"/>
      <x:c r="I163" s="345" t="str"/>
      <x:c r="J163" s="345" t="str"/>
    </x:row>
    <x:row r="164">
      <x:c r="A164" s="344"/>
      <x:c r="B164" s="267" t="str">
        <x:f>IF(A164="","",MAX(1,MIN('Setup'!$B$8,INT((A164-'Setup'!$B$6)/7)+1)))</x:f>
      </x:c>
      <x:c r="C164" s="345" t="str"/>
      <x:c r="D164" s="345" t="str"/>
      <x:c r="E164" s="345" t="str"/>
      <x:c r="F164" s="349"/>
      <x:c r="G164" s="350" t="str">
        <x:f>IF(F164="","",F164/60)</x:f>
      </x:c>
      <x:c r="H164" s="267" t="str"/>
      <x:c r="I164" s="345" t="str"/>
      <x:c r="J164" s="345" t="str"/>
    </x:row>
    <x:row r="165">
      <x:c r="A165" s="344"/>
      <x:c r="B165" s="267" t="str">
        <x:f>IF(A165="","",MAX(1,MIN('Setup'!$B$8,INT((A165-'Setup'!$B$6)/7)+1)))</x:f>
      </x:c>
      <x:c r="C165" s="345" t="str"/>
      <x:c r="D165" s="345" t="str"/>
      <x:c r="E165" s="345" t="str"/>
      <x:c r="F165" s="349"/>
      <x:c r="G165" s="350" t="str">
        <x:f>IF(F165="","",F165/60)</x:f>
      </x:c>
      <x:c r="H165" s="267" t="str"/>
      <x:c r="I165" s="345" t="str"/>
      <x:c r="J165" s="345" t="str"/>
    </x:row>
    <x:row r="166">
      <x:c r="A166" s="344"/>
      <x:c r="B166" s="267" t="str">
        <x:f>IF(A166="","",MAX(1,MIN('Setup'!$B$8,INT((A166-'Setup'!$B$6)/7)+1)))</x:f>
      </x:c>
      <x:c r="C166" s="345" t="str"/>
      <x:c r="D166" s="345" t="str"/>
      <x:c r="E166" s="345" t="str"/>
      <x:c r="F166" s="349"/>
      <x:c r="G166" s="350" t="str">
        <x:f>IF(F166="","",F166/60)</x:f>
      </x:c>
      <x:c r="H166" s="267" t="str"/>
      <x:c r="I166" s="345" t="str"/>
      <x:c r="J166" s="345" t="str"/>
    </x:row>
    <x:row r="167">
      <x:c r="A167" s="344"/>
      <x:c r="B167" s="267" t="str">
        <x:f>IF(A167="","",MAX(1,MIN('Setup'!$B$8,INT((A167-'Setup'!$B$6)/7)+1)))</x:f>
      </x:c>
      <x:c r="C167" s="345" t="str"/>
      <x:c r="D167" s="345" t="str"/>
      <x:c r="E167" s="345" t="str"/>
      <x:c r="F167" s="349"/>
      <x:c r="G167" s="350" t="str">
        <x:f>IF(F167="","",F167/60)</x:f>
      </x:c>
      <x:c r="H167" s="267" t="str"/>
      <x:c r="I167" s="345" t="str"/>
      <x:c r="J167" s="345" t="str"/>
    </x:row>
    <x:row r="168">
      <x:c r="A168" s="344"/>
      <x:c r="B168" s="267" t="str">
        <x:f>IF(A168="","",MAX(1,MIN('Setup'!$B$8,INT((A168-'Setup'!$B$6)/7)+1)))</x:f>
      </x:c>
      <x:c r="C168" s="345" t="str"/>
      <x:c r="D168" s="345" t="str"/>
      <x:c r="E168" s="345" t="str"/>
      <x:c r="F168" s="349"/>
      <x:c r="G168" s="350" t="str">
        <x:f>IF(F168="","",F168/60)</x:f>
      </x:c>
      <x:c r="H168" s="267" t="str"/>
      <x:c r="I168" s="345" t="str"/>
      <x:c r="J168" s="345" t="str"/>
    </x:row>
    <x:row r="169">
      <x:c r="A169" s="344"/>
      <x:c r="B169" s="267" t="str">
        <x:f>IF(A169="","",MAX(1,MIN('Setup'!$B$8,INT((A169-'Setup'!$B$6)/7)+1)))</x:f>
      </x:c>
      <x:c r="C169" s="345" t="str"/>
      <x:c r="D169" s="345" t="str"/>
      <x:c r="E169" s="345" t="str"/>
      <x:c r="F169" s="349"/>
      <x:c r="G169" s="350" t="str">
        <x:f>IF(F169="","",F169/60)</x:f>
      </x:c>
      <x:c r="H169" s="267" t="str"/>
      <x:c r="I169" s="345" t="str"/>
      <x:c r="J169" s="345" t="str"/>
    </x:row>
    <x:row r="170">
      <x:c r="A170" s="344"/>
      <x:c r="B170" s="267" t="str">
        <x:f>IF(A170="","",MAX(1,MIN('Setup'!$B$8,INT((A170-'Setup'!$B$6)/7)+1)))</x:f>
      </x:c>
      <x:c r="C170" s="345" t="str"/>
      <x:c r="D170" s="345" t="str"/>
      <x:c r="E170" s="345" t="str"/>
      <x:c r="F170" s="349"/>
      <x:c r="G170" s="350" t="str">
        <x:f>IF(F170="","",F170/60)</x:f>
      </x:c>
      <x:c r="H170" s="267" t="str"/>
      <x:c r="I170" s="345" t="str"/>
      <x:c r="J170" s="345" t="str"/>
    </x:row>
    <x:row r="171">
      <x:c r="A171" s="344"/>
      <x:c r="B171" s="267" t="str">
        <x:f>IF(A171="","",MAX(1,MIN('Setup'!$B$8,INT((A171-'Setup'!$B$6)/7)+1)))</x:f>
      </x:c>
      <x:c r="C171" s="345" t="str"/>
      <x:c r="D171" s="345" t="str"/>
      <x:c r="E171" s="345" t="str"/>
      <x:c r="F171" s="349"/>
      <x:c r="G171" s="350" t="str">
        <x:f>IF(F171="","",F171/60)</x:f>
      </x:c>
      <x:c r="H171" s="267" t="str"/>
      <x:c r="I171" s="345" t="str"/>
      <x:c r="J171" s="345" t="str"/>
    </x:row>
    <x:row r="172">
      <x:c r="A172" s="344"/>
      <x:c r="B172" s="267" t="str">
        <x:f>IF(A172="","",MAX(1,MIN('Setup'!$B$8,INT((A172-'Setup'!$B$6)/7)+1)))</x:f>
      </x:c>
      <x:c r="C172" s="345" t="str"/>
      <x:c r="D172" s="345" t="str"/>
      <x:c r="E172" s="345" t="str"/>
      <x:c r="F172" s="349"/>
      <x:c r="G172" s="350" t="str">
        <x:f>IF(F172="","",F172/60)</x:f>
      </x:c>
      <x:c r="H172" s="267" t="str"/>
      <x:c r="I172" s="345" t="str"/>
      <x:c r="J172" s="345" t="str"/>
    </x:row>
    <x:row r="173">
      <x:c r="A173" s="344"/>
      <x:c r="B173" s="267" t="str">
        <x:f>IF(A173="","",MAX(1,MIN('Setup'!$B$8,INT((A173-'Setup'!$B$6)/7)+1)))</x:f>
      </x:c>
      <x:c r="C173" s="345" t="str"/>
      <x:c r="D173" s="345" t="str"/>
      <x:c r="E173" s="345" t="str"/>
      <x:c r="F173" s="349"/>
      <x:c r="G173" s="350" t="str">
        <x:f>IF(F173="","",F173/60)</x:f>
      </x:c>
      <x:c r="H173" s="267" t="str"/>
      <x:c r="I173" s="345" t="str"/>
      <x:c r="J173" s="345" t="str"/>
    </x:row>
    <x:row r="174">
      <x:c r="A174" s="344"/>
      <x:c r="B174" s="267" t="str">
        <x:f>IF(A174="","",MAX(1,MIN('Setup'!$B$8,INT((A174-'Setup'!$B$6)/7)+1)))</x:f>
      </x:c>
      <x:c r="C174" s="345" t="str"/>
      <x:c r="D174" s="345" t="str"/>
      <x:c r="E174" s="345" t="str"/>
      <x:c r="F174" s="349"/>
      <x:c r="G174" s="350" t="str">
        <x:f>IF(F174="","",F174/60)</x:f>
      </x:c>
      <x:c r="H174" s="267" t="str"/>
      <x:c r="I174" s="345" t="str"/>
      <x:c r="J174" s="345" t="str"/>
    </x:row>
    <x:row r="175">
      <x:c r="A175" s="344"/>
      <x:c r="B175" s="267" t="str">
        <x:f>IF(A175="","",MAX(1,MIN('Setup'!$B$8,INT((A175-'Setup'!$B$6)/7)+1)))</x:f>
      </x:c>
      <x:c r="C175" s="345" t="str"/>
      <x:c r="D175" s="345" t="str"/>
      <x:c r="E175" s="345" t="str"/>
      <x:c r="F175" s="349"/>
      <x:c r="G175" s="350" t="str">
        <x:f>IF(F175="","",F175/60)</x:f>
      </x:c>
      <x:c r="H175" s="267" t="str"/>
      <x:c r="I175" s="345" t="str"/>
      <x:c r="J175" s="345" t="str"/>
    </x:row>
    <x:row r="176">
      <x:c r="A176" s="344"/>
      <x:c r="B176" s="267" t="str">
        <x:f>IF(A176="","",MAX(1,MIN('Setup'!$B$8,INT((A176-'Setup'!$B$6)/7)+1)))</x:f>
      </x:c>
      <x:c r="C176" s="345" t="str"/>
      <x:c r="D176" s="345" t="str"/>
      <x:c r="E176" s="345" t="str"/>
      <x:c r="F176" s="349"/>
      <x:c r="G176" s="350" t="str">
        <x:f>IF(F176="","",F176/60)</x:f>
      </x:c>
      <x:c r="H176" s="267" t="str"/>
      <x:c r="I176" s="345" t="str"/>
      <x:c r="J176" s="345" t="str"/>
    </x:row>
    <x:row r="177">
      <x:c r="A177" s="344"/>
      <x:c r="B177" s="267" t="str">
        <x:f>IF(A177="","",MAX(1,MIN('Setup'!$B$8,INT((A177-'Setup'!$B$6)/7)+1)))</x:f>
      </x:c>
      <x:c r="C177" s="345" t="str"/>
      <x:c r="D177" s="345" t="str"/>
      <x:c r="E177" s="345" t="str"/>
      <x:c r="F177" s="349"/>
      <x:c r="G177" s="350" t="str">
        <x:f>IF(F177="","",F177/60)</x:f>
      </x:c>
      <x:c r="H177" s="267" t="str"/>
      <x:c r="I177" s="345" t="str"/>
      <x:c r="J177" s="345" t="str"/>
    </x:row>
    <x:row r="178">
      <x:c r="A178" s="344"/>
      <x:c r="B178" s="267" t="str">
        <x:f>IF(A178="","",MAX(1,MIN('Setup'!$B$8,INT((A178-'Setup'!$B$6)/7)+1)))</x:f>
      </x:c>
      <x:c r="C178" s="345" t="str"/>
      <x:c r="D178" s="345" t="str"/>
      <x:c r="E178" s="345" t="str"/>
      <x:c r="F178" s="349"/>
      <x:c r="G178" s="350" t="str">
        <x:f>IF(F178="","",F178/60)</x:f>
      </x:c>
      <x:c r="H178" s="267" t="str"/>
      <x:c r="I178" s="345" t="str"/>
      <x:c r="J178" s="345" t="str"/>
    </x:row>
    <x:row r="179">
      <x:c r="A179" s="344"/>
      <x:c r="B179" s="267" t="str">
        <x:f>IF(A179="","",MAX(1,MIN('Setup'!$B$8,INT((A179-'Setup'!$B$6)/7)+1)))</x:f>
      </x:c>
      <x:c r="C179" s="345" t="str"/>
      <x:c r="D179" s="345" t="str"/>
      <x:c r="E179" s="345" t="str"/>
      <x:c r="F179" s="349"/>
      <x:c r="G179" s="350" t="str">
        <x:f>IF(F179="","",F179/60)</x:f>
      </x:c>
      <x:c r="H179" s="267" t="str"/>
      <x:c r="I179" s="345" t="str"/>
      <x:c r="J179" s="345" t="str"/>
    </x:row>
    <x:row r="180">
      <x:c r="A180" s="344"/>
      <x:c r="B180" s="267" t="str">
        <x:f>IF(A180="","",MAX(1,MIN('Setup'!$B$8,INT((A180-'Setup'!$B$6)/7)+1)))</x:f>
      </x:c>
      <x:c r="C180" s="345" t="str"/>
      <x:c r="D180" s="345" t="str"/>
      <x:c r="E180" s="345" t="str"/>
      <x:c r="F180" s="349"/>
      <x:c r="G180" s="350" t="str">
        <x:f>IF(F180="","",F180/60)</x:f>
      </x:c>
      <x:c r="H180" s="267" t="str"/>
      <x:c r="I180" s="345" t="str"/>
      <x:c r="J180" s="345" t="str"/>
    </x:row>
    <x:row r="181">
      <x:c r="A181" s="344"/>
      <x:c r="B181" s="267" t="str">
        <x:f>IF(A181="","",MAX(1,MIN('Setup'!$B$8,INT((A181-'Setup'!$B$6)/7)+1)))</x:f>
      </x:c>
      <x:c r="C181" s="345" t="str"/>
      <x:c r="D181" s="345" t="str"/>
      <x:c r="E181" s="345" t="str"/>
      <x:c r="F181" s="349"/>
      <x:c r="G181" s="350" t="str">
        <x:f>IF(F181="","",F181/60)</x:f>
      </x:c>
      <x:c r="H181" s="267" t="str"/>
      <x:c r="I181" s="345" t="str"/>
      <x:c r="J181" s="345" t="str"/>
    </x:row>
    <x:row r="182">
      <x:c r="A182" s="344"/>
      <x:c r="B182" s="267" t="str">
        <x:f>IF(A182="","",MAX(1,MIN('Setup'!$B$8,INT((A182-'Setup'!$B$6)/7)+1)))</x:f>
      </x:c>
      <x:c r="C182" s="345" t="str"/>
      <x:c r="D182" s="345" t="str"/>
      <x:c r="E182" s="345" t="str"/>
      <x:c r="F182" s="349"/>
      <x:c r="G182" s="350" t="str">
        <x:f>IF(F182="","",F182/60)</x:f>
      </x:c>
      <x:c r="H182" s="267" t="str"/>
      <x:c r="I182" s="345" t="str"/>
      <x:c r="J182" s="345" t="str"/>
    </x:row>
    <x:row r="183">
      <x:c r="A183" s="344"/>
      <x:c r="B183" s="267" t="str">
        <x:f>IF(A183="","",MAX(1,MIN('Setup'!$B$8,INT((A183-'Setup'!$B$6)/7)+1)))</x:f>
      </x:c>
      <x:c r="C183" s="345" t="str"/>
      <x:c r="D183" s="345" t="str"/>
      <x:c r="E183" s="345" t="str"/>
      <x:c r="F183" s="349"/>
      <x:c r="G183" s="350" t="str">
        <x:f>IF(F183="","",F183/60)</x:f>
      </x:c>
      <x:c r="H183" s="267" t="str"/>
      <x:c r="I183" s="345" t="str"/>
      <x:c r="J183" s="345" t="str"/>
    </x:row>
    <x:row r="184">
      <x:c r="A184" s="344"/>
      <x:c r="B184" s="267" t="str">
        <x:f>IF(A184="","",MAX(1,MIN('Setup'!$B$8,INT((A184-'Setup'!$B$6)/7)+1)))</x:f>
      </x:c>
      <x:c r="C184" s="345" t="str"/>
      <x:c r="D184" s="345" t="str"/>
      <x:c r="E184" s="345" t="str"/>
      <x:c r="F184" s="349"/>
      <x:c r="G184" s="350" t="str">
        <x:f>IF(F184="","",F184/60)</x:f>
      </x:c>
      <x:c r="H184" s="267" t="str"/>
      <x:c r="I184" s="345" t="str"/>
      <x:c r="J184" s="345" t="str"/>
    </x:row>
    <x:row r="185">
      <x:c r="A185" s="344"/>
      <x:c r="B185" s="267" t="str">
        <x:f>IF(A185="","",MAX(1,MIN('Setup'!$B$8,INT((A185-'Setup'!$B$6)/7)+1)))</x:f>
      </x:c>
      <x:c r="C185" s="345" t="str"/>
      <x:c r="D185" s="345" t="str"/>
      <x:c r="E185" s="345" t="str"/>
      <x:c r="F185" s="349"/>
      <x:c r="G185" s="350" t="str">
        <x:f>IF(F185="","",F185/60)</x:f>
      </x:c>
      <x:c r="H185" s="267" t="str"/>
      <x:c r="I185" s="345" t="str"/>
      <x:c r="J185" s="345" t="str"/>
    </x:row>
    <x:row r="186">
      <x:c r="A186" s="344"/>
      <x:c r="B186" s="267" t="str">
        <x:f>IF(A186="","",MAX(1,MIN('Setup'!$B$8,INT((A186-'Setup'!$B$6)/7)+1)))</x:f>
      </x:c>
      <x:c r="C186" s="345" t="str"/>
      <x:c r="D186" s="345" t="str"/>
      <x:c r="E186" s="345" t="str"/>
      <x:c r="F186" s="349"/>
      <x:c r="G186" s="350" t="str">
        <x:f>IF(F186="","",F186/60)</x:f>
      </x:c>
      <x:c r="H186" s="267" t="str"/>
      <x:c r="I186" s="345" t="str"/>
      <x:c r="J186" s="345" t="str"/>
    </x:row>
    <x:row r="187">
      <x:c r="A187" s="344"/>
      <x:c r="B187" s="267" t="str">
        <x:f>IF(A187="","",MAX(1,MIN('Setup'!$B$8,INT((A187-'Setup'!$B$6)/7)+1)))</x:f>
      </x:c>
      <x:c r="C187" s="345" t="str"/>
      <x:c r="D187" s="345" t="str"/>
      <x:c r="E187" s="345" t="str"/>
      <x:c r="F187" s="349"/>
      <x:c r="G187" s="350" t="str">
        <x:f>IF(F187="","",F187/60)</x:f>
      </x:c>
      <x:c r="H187" s="267" t="str"/>
      <x:c r="I187" s="345" t="str"/>
      <x:c r="J187" s="345" t="str"/>
    </x:row>
    <x:row r="188">
      <x:c r="A188" s="344"/>
      <x:c r="B188" s="267" t="str">
        <x:f>IF(A188="","",MAX(1,MIN('Setup'!$B$8,INT((A188-'Setup'!$B$6)/7)+1)))</x:f>
      </x:c>
      <x:c r="C188" s="345" t="str"/>
      <x:c r="D188" s="345" t="str"/>
      <x:c r="E188" s="345" t="str"/>
      <x:c r="F188" s="349"/>
      <x:c r="G188" s="350" t="str">
        <x:f>IF(F188="","",F188/60)</x:f>
      </x:c>
      <x:c r="H188" s="267" t="str"/>
      <x:c r="I188" s="345" t="str"/>
      <x:c r="J188" s="345" t="str"/>
    </x:row>
    <x:row r="189">
      <x:c r="A189" s="344"/>
      <x:c r="B189" s="267" t="str">
        <x:f>IF(A189="","",MAX(1,MIN('Setup'!$B$8,INT((A189-'Setup'!$B$6)/7)+1)))</x:f>
      </x:c>
      <x:c r="C189" s="345" t="str"/>
      <x:c r="D189" s="345" t="str"/>
      <x:c r="E189" s="345" t="str"/>
      <x:c r="F189" s="349"/>
      <x:c r="G189" s="350" t="str">
        <x:f>IF(F189="","",F189/60)</x:f>
      </x:c>
      <x:c r="H189" s="267" t="str"/>
      <x:c r="I189" s="345" t="str"/>
      <x:c r="J189" s="345" t="str"/>
    </x:row>
    <x:row r="190">
      <x:c r="A190" s="344"/>
      <x:c r="B190" s="267" t="str">
        <x:f>IF(A190="","",MAX(1,MIN('Setup'!$B$8,INT((A190-'Setup'!$B$6)/7)+1)))</x:f>
      </x:c>
      <x:c r="C190" s="345" t="str"/>
      <x:c r="D190" s="345" t="str"/>
      <x:c r="E190" s="345" t="str"/>
      <x:c r="F190" s="349"/>
      <x:c r="G190" s="350" t="str">
        <x:f>IF(F190="","",F190/60)</x:f>
      </x:c>
      <x:c r="H190" s="267" t="str"/>
      <x:c r="I190" s="345" t="str"/>
      <x:c r="J190" s="345" t="str"/>
    </x:row>
    <x:row r="191">
      <x:c r="A191" s="344"/>
      <x:c r="B191" s="267" t="str">
        <x:f>IF(A191="","",MAX(1,MIN('Setup'!$B$8,INT((A191-'Setup'!$B$6)/7)+1)))</x:f>
      </x:c>
      <x:c r="C191" s="345" t="str"/>
      <x:c r="D191" s="345" t="str"/>
      <x:c r="E191" s="345" t="str"/>
      <x:c r="F191" s="349"/>
      <x:c r="G191" s="350" t="str">
        <x:f>IF(F191="","",F191/60)</x:f>
      </x:c>
      <x:c r="H191" s="267" t="str"/>
      <x:c r="I191" s="345" t="str"/>
      <x:c r="J191" s="345" t="str"/>
    </x:row>
    <x:row r="192">
      <x:c r="A192" s="344"/>
      <x:c r="B192" s="267" t="str">
        <x:f>IF(A192="","",MAX(1,MIN('Setup'!$B$8,INT((A192-'Setup'!$B$6)/7)+1)))</x:f>
      </x:c>
      <x:c r="C192" s="345" t="str"/>
      <x:c r="D192" s="345" t="str"/>
      <x:c r="E192" s="345" t="str"/>
      <x:c r="F192" s="349"/>
      <x:c r="G192" s="350" t="str">
        <x:f>IF(F192="","",F192/60)</x:f>
      </x:c>
      <x:c r="H192" s="267" t="str"/>
      <x:c r="I192" s="345" t="str"/>
      <x:c r="J192" s="345" t="str"/>
    </x:row>
    <x:row r="193">
      <x:c r="A193" s="344"/>
      <x:c r="B193" s="267" t="str">
        <x:f>IF(A193="","",MAX(1,MIN('Setup'!$B$8,INT((A193-'Setup'!$B$6)/7)+1)))</x:f>
      </x:c>
      <x:c r="C193" s="345" t="str"/>
      <x:c r="D193" s="345" t="str"/>
      <x:c r="E193" s="345" t="str"/>
      <x:c r="F193" s="349"/>
      <x:c r="G193" s="350" t="str">
        <x:f>IF(F193="","",F193/60)</x:f>
      </x:c>
      <x:c r="H193" s="267" t="str"/>
      <x:c r="I193" s="345" t="str"/>
      <x:c r="J193" s="345" t="str"/>
    </x:row>
    <x:row r="194">
      <x:c r="A194" s="344"/>
      <x:c r="B194" s="267" t="str">
        <x:f>IF(A194="","",MAX(1,MIN('Setup'!$B$8,INT((A194-'Setup'!$B$6)/7)+1)))</x:f>
      </x:c>
      <x:c r="C194" s="345" t="str"/>
      <x:c r="D194" s="345" t="str"/>
      <x:c r="E194" s="345" t="str"/>
      <x:c r="F194" s="349"/>
      <x:c r="G194" s="350" t="str">
        <x:f>IF(F194="","",F194/60)</x:f>
      </x:c>
      <x:c r="H194" s="267" t="str"/>
      <x:c r="I194" s="345" t="str"/>
      <x:c r="J194" s="345" t="str"/>
    </x:row>
    <x:row r="195">
      <x:c r="A195" s="344"/>
      <x:c r="B195" s="267" t="str">
        <x:f>IF(A195="","",MAX(1,MIN('Setup'!$B$8,INT((A195-'Setup'!$B$6)/7)+1)))</x:f>
      </x:c>
      <x:c r="C195" s="345" t="str"/>
      <x:c r="D195" s="345" t="str"/>
      <x:c r="E195" s="345" t="str"/>
      <x:c r="F195" s="349"/>
      <x:c r="G195" s="350" t="str">
        <x:f>IF(F195="","",F195/60)</x:f>
      </x:c>
      <x:c r="H195" s="267" t="str"/>
      <x:c r="I195" s="345" t="str"/>
      <x:c r="J195" s="345" t="str"/>
    </x:row>
    <x:row r="196">
      <x:c r="A196" s="344"/>
      <x:c r="B196" s="267" t="str">
        <x:f>IF(A196="","",MAX(1,MIN('Setup'!$B$8,INT((A196-'Setup'!$B$6)/7)+1)))</x:f>
      </x:c>
      <x:c r="C196" s="345" t="str"/>
      <x:c r="D196" s="345" t="str"/>
      <x:c r="E196" s="345" t="str"/>
      <x:c r="F196" s="349"/>
      <x:c r="G196" s="350" t="str">
        <x:f>IF(F196="","",F196/60)</x:f>
      </x:c>
      <x:c r="H196" s="267" t="str"/>
      <x:c r="I196" s="345" t="str"/>
      <x:c r="J196" s="345" t="str"/>
    </x:row>
    <x:row r="197">
      <x:c r="A197" s="344"/>
      <x:c r="B197" s="267" t="str">
        <x:f>IF(A197="","",MAX(1,MIN('Setup'!$B$8,INT((A197-'Setup'!$B$6)/7)+1)))</x:f>
      </x:c>
      <x:c r="C197" s="345" t="str"/>
      <x:c r="D197" s="345" t="str"/>
      <x:c r="E197" s="345" t="str"/>
      <x:c r="F197" s="349"/>
      <x:c r="G197" s="350" t="str">
        <x:f>IF(F197="","",F197/60)</x:f>
      </x:c>
      <x:c r="H197" s="267" t="str"/>
      <x:c r="I197" s="345" t="str"/>
      <x:c r="J197" s="345" t="str"/>
    </x:row>
    <x:row r="198">
      <x:c r="A198" s="344"/>
      <x:c r="B198" s="267" t="str">
        <x:f>IF(A198="","",MAX(1,MIN('Setup'!$B$8,INT((A198-'Setup'!$B$6)/7)+1)))</x:f>
      </x:c>
      <x:c r="C198" s="345" t="str"/>
      <x:c r="D198" s="345" t="str"/>
      <x:c r="E198" s="345" t="str"/>
      <x:c r="F198" s="349"/>
      <x:c r="G198" s="350" t="str">
        <x:f>IF(F198="","",F198/60)</x:f>
      </x:c>
      <x:c r="H198" s="267" t="str"/>
      <x:c r="I198" s="345" t="str"/>
      <x:c r="J198" s="345" t="str"/>
    </x:row>
    <x:row r="199">
      <x:c r="A199" s="344"/>
      <x:c r="B199" s="267" t="str">
        <x:f>IF(A199="","",MAX(1,MIN('Setup'!$B$8,INT((A199-'Setup'!$B$6)/7)+1)))</x:f>
      </x:c>
      <x:c r="C199" s="345" t="str"/>
      <x:c r="D199" s="345" t="str"/>
      <x:c r="E199" s="345" t="str"/>
      <x:c r="F199" s="349"/>
      <x:c r="G199" s="350" t="str">
        <x:f>IF(F199="","",F199/60)</x:f>
      </x:c>
      <x:c r="H199" s="267" t="str"/>
      <x:c r="I199" s="345" t="str"/>
      <x:c r="J199" s="345" t="str"/>
    </x:row>
    <x:row r="200">
      <x:c r="A200" s="344"/>
      <x:c r="B200" s="267" t="str">
        <x:f>IF(A200="","",MAX(1,MIN('Setup'!$B$8,INT((A200-'Setup'!$B$6)/7)+1)))</x:f>
      </x:c>
      <x:c r="C200" s="345" t="str"/>
      <x:c r="D200" s="345" t="str"/>
      <x:c r="E200" s="345" t="str"/>
      <x:c r="F200" s="349"/>
      <x:c r="G200" s="350" t="str">
        <x:f>IF(F200="","",F200/60)</x:f>
      </x:c>
      <x:c r="H200" s="267" t="str"/>
      <x:c r="I200" s="345" t="str"/>
      <x:c r="J200" s="345" t="str"/>
    </x:row>
    <x:row r="201">
      <x:c r="A201" s="344"/>
      <x:c r="B201" s="267" t="str">
        <x:f>IF(A201="","",MAX(1,MIN('Setup'!$B$8,INT((A201-'Setup'!$B$6)/7)+1)))</x:f>
      </x:c>
      <x:c r="C201" s="345" t="str"/>
      <x:c r="D201" s="345" t="str"/>
      <x:c r="E201" s="345" t="str"/>
      <x:c r="F201" s="349"/>
      <x:c r="G201" s="350" t="str">
        <x:f>IF(F201="","",F201/60)</x:f>
      </x:c>
      <x:c r="H201" s="267" t="str"/>
      <x:c r="I201" s="345" t="str"/>
      <x:c r="J201" s="345" t="str"/>
    </x:row>
    <x:row r="202">
      <x:c r="A202" s="344"/>
      <x:c r="B202" s="267" t="str">
        <x:f>IF(A202="","",MAX(1,MIN('Setup'!$B$8,INT((A202-'Setup'!$B$6)/7)+1)))</x:f>
      </x:c>
      <x:c r="C202" s="345" t="str"/>
      <x:c r="D202" s="345" t="str"/>
      <x:c r="E202" s="345" t="str"/>
      <x:c r="F202" s="349"/>
      <x:c r="G202" s="350" t="str">
        <x:f>IF(F202="","",F202/60)</x:f>
      </x:c>
      <x:c r="H202" s="267" t="str"/>
      <x:c r="I202" s="345" t="str"/>
      <x:c r="J202" s="345" t="str"/>
    </x:row>
    <x:row r="203">
      <x:c r="A203" s="344"/>
      <x:c r="B203" s="267" t="str">
        <x:f>IF(A203="","",MAX(1,MIN('Setup'!$B$8,INT((A203-'Setup'!$B$6)/7)+1)))</x:f>
      </x:c>
      <x:c r="C203" s="345" t="str"/>
      <x:c r="D203" s="345" t="str"/>
      <x:c r="E203" s="345" t="str"/>
      <x:c r="F203" s="349"/>
      <x:c r="G203" s="350" t="str">
        <x:f>IF(F203="","",F203/60)</x:f>
      </x:c>
      <x:c r="H203" s="267" t="str"/>
      <x:c r="I203" s="345" t="str"/>
      <x:c r="J203" s="345" t="str"/>
    </x:row>
    <x:row r="204">
      <x:c r="A204" s="344"/>
      <x:c r="B204" s="267" t="str">
        <x:f>IF(A204="","",MAX(1,MIN('Setup'!$B$8,INT((A204-'Setup'!$B$6)/7)+1)))</x:f>
      </x:c>
      <x:c r="C204" s="345" t="str"/>
      <x:c r="D204" s="345" t="str"/>
      <x:c r="E204" s="345" t="str"/>
      <x:c r="F204" s="349"/>
      <x:c r="G204" s="350" t="str">
        <x:f>IF(F204="","",F204/60)</x:f>
      </x:c>
      <x:c r="H204" s="267" t="str"/>
      <x:c r="I204" s="345" t="str"/>
      <x:c r="J204" s="345" t="str"/>
    </x:row>
  </x:sheetData>
  <x:mergeCells>
    <x:mergeCell ref="A1:J2"/>
    <x:mergeCell ref="A3:J3"/>
  </x:mergeCells>
  <x:conditionalFormatting sqref="H5:H204">
    <x:cfRule type="containsText" dxfId="26" priority="1" operator="containsText" text="Completed"/>
    <x:cfRule type="containsText" dxfId="27" priority="2" operator="containsText" text="In Progress"/>
    <x:cfRule type="containsText" dxfId="28" priority="3" operator="containsText" text="Active"/>
    <x:cfRule type="containsText" dxfId="29" priority="4" operator="containsText" text="Blocked"/>
    <x:cfRule type="containsText" dxfId="30" priority="5" operator="containsText" text="Behind"/>
    <x:cfRule type="containsText" dxfId="31" priority="6" operator="containsText" text="Not Started"/>
    <x:cfRule type="containsText" dxfId="32" priority="7" operator="containsText" text="Upcoming"/>
    <x:cfRule type="containsText" dxfId="33" priority="8" operator="containsText" text="Partial"/>
  </x:conditionalFormatting>
  <x:dataValidations count="2">
    <x:dataValidation type="list" sqref="C5:C204">
      <x:formula1>"Reading,SQL Exercise,PL/SQL Exercise,APEX Build,Debugging,Testing,Project,Review"</x:formula1>
    </x:dataValidation>
    <x:dataValidation type="list" sqref="H5:H204">
      <x:formula1>"Completed,Partial,Blocked"</x:formula1>
    </x:dataValidation>
  </x:dataValidations>
  <x:pageMargins left="0.7" right="0.7" top="0.75" bottom="0.75" header="0.3" footer="0.3"/>
  <x:tableParts count="1">
    <x:tablePart xmlns:r="http://schemas.openxmlformats.org/officeDocument/2006/relationships" r:id="R00f7593a51564695"/>
  </x:tableParts>
</x:worksheet>
</file>

<file path=xl/worksheets/sheet5.xml><?xml version="1.0" encoding="utf-8"?>
<x:worksheet xmlns:x="http://schemas.openxmlformats.org/spreadsheetml/2006/main">
  <x:sheetViews>
    <x:sheetView showGridLines="0" workbookViewId="0"/>
  </x:sheetViews>
  <x:sheetFormatPr defaultRowHeight="15"/>
  <x:cols>
    <x:col min="1" max="1" width="8" hidden="0" customWidth="1"/>
    <x:col min="2" max="2" width="12" hidden="0" customWidth="1"/>
    <x:col min="3" max="3" width="30" hidden="0" customWidth="1"/>
    <x:col min="4" max="4" width="65" hidden="0" customWidth="1"/>
    <x:col min="5" max="5" width="14" hidden="0" customWidth="1"/>
    <x:col min="6" max="6" width="13" hidden="0" customWidth="1"/>
    <x:col min="7" max="7" width="34" hidden="0" customWidth="1"/>
    <x:col min="8" max="8" width="34" hidden="0" customWidth="1"/>
  </x:cols>
  <x:sheetData>
    <x:row r="1" ht="30" customHeight="1">
      <x:c r="A1" s="359" t="str">
        <x:v>Phase Milestones</x:v>
      </x:c>
      <x:c r="B1" s="359" t="str">
        <x:v>Phase Milestones</x:v>
      </x:c>
      <x:c r="C1" s="359" t="str">
        <x:v>Phase Milestones</x:v>
      </x:c>
      <x:c r="D1" s="359" t="str">
        <x:v>Phase Milestones</x:v>
      </x:c>
      <x:c r="E1" s="359" t="str">
        <x:v>Phase Milestones</x:v>
      </x:c>
      <x:c r="F1" s="359" t="str">
        <x:v>Phase Milestones</x:v>
      </x:c>
      <x:c r="G1" s="359" t="str">
        <x:v>Phase Milestones</x:v>
      </x:c>
      <x:c r="H1" s="359" t="str">
        <x:v>Phase Milestones</x:v>
      </x:c>
    </x:row>
    <x:row r="2" ht="30" customHeight="1">
      <x:c r="A2" s="359" t="str">
        <x:v>Phase Milestones</x:v>
      </x:c>
      <x:c r="B2" s="359" t="str">
        <x:v>Phase Milestones</x:v>
      </x:c>
      <x:c r="C2" s="359" t="str">
        <x:v>Phase Milestones</x:v>
      </x:c>
      <x:c r="D2" s="359" t="str">
        <x:v>Phase Milestones</x:v>
      </x:c>
      <x:c r="E2" s="359" t="str">
        <x:v>Phase Milestones</x:v>
      </x:c>
      <x:c r="F2" s="359" t="str">
        <x:v>Phase Milestones</x:v>
      </x:c>
      <x:c r="G2" s="359" t="str">
        <x:v>Phase Milestones</x:v>
      </x:c>
      <x:c r="H2" s="359" t="str">
        <x:v>Phase Milestones</x:v>
      </x:c>
    </x:row>
    <x:row r="3" ht="22" customHeight="1">
      <x:c r="A3" s="266" t="str">
        <x:v>Mark a milestone complete only when its definition of done is supported by evidence.</x:v>
      </x:c>
      <x:c r="B3" s="266" t="str">
        <x:v>Mark a milestone complete only when its definition of done is supported by evidence.</x:v>
      </x:c>
      <x:c r="C3" s="266" t="str">
        <x:v>Mark a milestone complete only when its definition of done is supported by evidence.</x:v>
      </x:c>
      <x:c r="D3" s="266" t="str">
        <x:v>Mark a milestone complete only when its definition of done is supported by evidence.</x:v>
      </x:c>
      <x:c r="E3" s="266" t="str">
        <x:v>Mark a milestone complete only when its definition of done is supported by evidence.</x:v>
      </x:c>
      <x:c r="F3" s="266" t="str">
        <x:v>Mark a milestone complete only when its definition of done is supported by evidence.</x:v>
      </x:c>
      <x:c r="G3" s="266" t="str">
        <x:v>Mark a milestone complete only when its definition of done is supported by evidence.</x:v>
      </x:c>
      <x:c r="H3" s="266" t="str">
        <x:v>Mark a milestone complete only when its definition of done is supported by evidence.</x:v>
      </x:c>
    </x:row>
    <x:row r="4">
      <x:c r="A4" s="360" t="str">
        <x:v>ID</x:v>
      </x:c>
      <x:c r="B4" s="361" t="str">
        <x:v>Target Week</x:v>
      </x:c>
      <x:c r="C4" s="361" t="str">
        <x:v>Milestone</x:v>
      </x:c>
      <x:c r="D4" s="361" t="str">
        <x:v>Definition of Done</x:v>
      </x:c>
      <x:c r="E4" s="361" t="str">
        <x:v>Status</x:v>
      </x:c>
      <x:c r="F4" s="361" t="str">
        <x:v>Completion</x:v>
      </x:c>
      <x:c r="G4" s="361" t="str">
        <x:v>Evidence / Link</x:v>
      </x:c>
      <x:c r="H4" s="362" t="str">
        <x:v>Review Notes</x:v>
      </x:c>
    </x:row>
    <x:row r="5" ht="48" customHeight="1">
      <x:c r="A5" s="267" t="str">
        <x:v>M1</x:v>
      </x:c>
      <x:c r="B5" s="267" t="n">
        <x:v>1</x:v>
      </x:c>
      <x:c r="C5" s="345" t="str">
        <x:v>Normalized data model</x:v>
      </x:c>
      <x:c r="D5" s="345" t="str">
        <x:v>Inventory and orders ERD includes keys, cardinality, constraints and correct data types</x:v>
      </x:c>
      <x:c r="E5" s="345" t="str">
        <x:v>Not Started</x:v>
      </x:c>
      <x:c r="F5" s="351" t="n">
        <x:f>IF(E5="Completed",1,IF(E5="In Progress",0.5,IF(E5="Blocked",0.25,0)))</x:f>
        <x:v>0</x:v>
      </x:c>
      <x:c r="G5" s="345" t="str"/>
      <x:c r="H5" s="345" t="str"/>
    </x:row>
    <x:row r="6" ht="48" customHeight="1">
      <x:c r="A6" s="267" t="str">
        <x:v>M2</x:v>
      </x:c>
      <x:c r="B6" s="267" t="n">
        <x:v>4</x:v>
      </x:c>
      <x:c r="C6" s="345" t="str">
        <x:v>Oracle SQL foundation</x:v>
      </x:c>
      <x:c r="D6" s="345" t="str">
        <x:v>Working schema and at least 40 correct queries including joins, subqueries, transactions and analytics</x:v>
      </x:c>
      <x:c r="E6" s="345" t="str">
        <x:v>Not Started</x:v>
      </x:c>
      <x:c r="F6" s="351" t="n">
        <x:f>IF(E6="Completed",1,IF(E6="In Progress",0.5,IF(E6="Blocked",0.25,0)))</x:f>
        <x:v>0</x:v>
      </x:c>
      <x:c r="G6" s="345" t="str"/>
      <x:c r="H6" s="345" t="str"/>
    </x:row>
    <x:row r="7" ht="48" customHeight="1">
      <x:c r="A7" s="267" t="str">
        <x:v>M3</x:v>
      </x:c>
      <x:c r="B7" s="267" t="n">
        <x:v>8</x:v>
      </x:c>
      <x:c r="C7" s="345" t="str">
        <x:v>PL/SQL fundamentals module</x:v>
      </x:c>
      <x:c r="D7" s="345" t="str">
        <x:v>Procedures and functions implement a small business flow with meaningful exception handling</x:v>
      </x:c>
      <x:c r="E7" s="345" t="str">
        <x:v>Not Started</x:v>
      </x:c>
      <x:c r="F7" s="351" t="n">
        <x:f>IF(E7="Completed",1,IF(E7="In Progress",0.5,IF(E7="Blocked",0.25,0)))</x:f>
        <x:v>0</x:v>
      </x:c>
      <x:c r="G7" s="345" t="str"/>
      <x:c r="H7" s="345" t="str"/>
    </x:row>
    <x:row r="8" ht="48" customHeight="1">
      <x:c r="A8" s="267" t="str">
        <x:v>M4</x:v>
      </x:c>
      <x:c r="B8" s="267" t="n">
        <x:v>12</x:v>
      </x:c>
      <x:c r="C8" s="345" t="str">
        <x:v>Package-based business API</x:v>
      </x:c>
      <x:c r="D8" s="345" t="str">
        <x:v>Public package specification hides implementation; triggers remain focused; errors retain diagnostic context</x:v>
      </x:c>
      <x:c r="E8" s="345" t="str">
        <x:v>Not Started</x:v>
      </x:c>
      <x:c r="F8" s="351" t="n">
        <x:f>IF(E8="Completed",1,IF(E8="In Progress",0.5,IF(E8="Blocked",0.25,0)))</x:f>
        <x:v>0</x:v>
      </x:c>
      <x:c r="G8" s="345" t="str"/>
      <x:c r="H8" s="345" t="str"/>
    </x:row>
    <x:row r="9" ht="48" customHeight="1">
      <x:c r="A9" s="267" t="str">
        <x:v>M5</x:v>
      </x:c>
      <x:c r="B9" s="267" t="n">
        <x:v>16</x:v>
      </x:c>
      <x:c r="C9" s="345" t="str">
        <x:v>Enterprise PL/SQL module</x:v>
      </x:c>
      <x:c r="D9" s="345" t="str">
        <x:v>Concurrency, dynamic SQL, rights, scheduled job and one data integration are demonstrated safely</x:v>
      </x:c>
      <x:c r="E9" s="345" t="str">
        <x:v>Not Started</x:v>
      </x:c>
      <x:c r="F9" s="351" t="n">
        <x:f>IF(E9="Completed",1,IF(E9="In Progress",0.5,IF(E9="Blocked",0.25,0)))</x:f>
        <x:v>0</x:v>
      </x:c>
      <x:c r="G9" s="345" t="str"/>
      <x:c r="H9" s="345" t="str"/>
    </x:row>
    <x:row r="10" ht="48" customHeight="1">
      <x:c r="A10" s="267" t="str">
        <x:v>M6</x:v>
      </x:c>
      <x:c r="B10" s="267" t="n">
        <x:v>20</x:v>
      </x:c>
      <x:c r="C10" s="345" t="str">
        <x:v>Production-quality module</x:v>
      </x:c>
      <x:c r="D10" s="345" t="str">
        <x:v>Measured tuning, automated tests, instrumentation and repeatable source-controlled deployment are complete</x:v>
      </x:c>
      <x:c r="E10" s="345" t="str">
        <x:v>Not Started</x:v>
      </x:c>
      <x:c r="F10" s="351" t="n">
        <x:f>IF(E10="Completed",1,IF(E10="In Progress",0.5,IF(E10="Blocked",0.25,0)))</x:f>
        <x:v>0</x:v>
      </x:c>
      <x:c r="G10" s="345" t="str"/>
      <x:c r="H10" s="345" t="str"/>
    </x:row>
    <x:row r="11" ht="48" customHeight="1">
      <x:c r="A11" s="267" t="str">
        <x:v>M7</x:v>
      </x:c>
      <x:c r="B11" s="267" t="n">
        <x:v>22</x:v>
      </x:c>
      <x:c r="C11" s="345" t="str">
        <x:v>Secure APEX integration</x:v>
      </x:c>
      <x:c r="D11" s="345" t="str">
        <x:v>APEX calls packaged APIs and correctly uses session state, validation, authorization, escaping and debug</x:v>
      </x:c>
      <x:c r="E11" s="345" t="str">
        <x:v>Not Started</x:v>
      </x:c>
      <x:c r="F11" s="351" t="n">
        <x:f>IF(E11="Completed",1,IF(E11="In Progress",0.5,IF(E11="Blocked",0.25,0)))</x:f>
        <x:v>0</x:v>
      </x:c>
      <x:c r="G11" s="345" t="str"/>
      <x:c r="H11" s="345" t="str"/>
    </x:row>
    <x:row r="12" ht="48" customHeight="1">
      <x:c r="A12" s="267" t="str">
        <x:v>M8</x:v>
      </x:c>
      <x:c r="B12" s="267" t="n">
        <x:v>26</x:v>
      </x:c>
      <x:c r="C12" s="345" t="str">
        <x:v>Portfolio capstone</x:v>
      </x:c>
      <x:c r="D12" s="345" t="str">
        <x:v>Application passes tests, security and performance review and can be installed in a clean environment</x:v>
      </x:c>
      <x:c r="E12" s="345" t="str">
        <x:v>Not Started</x:v>
      </x:c>
      <x:c r="F12" s="351" t="n">
        <x:f>IF(E12="Completed",1,IF(E12="In Progress",0.5,IF(E12="Blocked",0.25,0)))</x:f>
        <x:v>0</x:v>
      </x:c>
      <x:c r="G12" s="345" t="str"/>
      <x:c r="H12" s="345" t="str"/>
    </x:row>
  </x:sheetData>
  <x:mergeCells>
    <x:mergeCell ref="A1:H2"/>
    <x:mergeCell ref="A3:H3"/>
  </x:mergeCells>
  <x:conditionalFormatting sqref="E5:E12">
    <x:cfRule type="containsText" dxfId="34" priority="1" operator="containsText" text="Completed"/>
    <x:cfRule type="containsText" dxfId="35" priority="2" operator="containsText" text="In Progress"/>
    <x:cfRule type="containsText" dxfId="36" priority="3" operator="containsText" text="Active"/>
    <x:cfRule type="containsText" dxfId="37" priority="4" operator="containsText" text="Blocked"/>
    <x:cfRule type="containsText" dxfId="38" priority="5" operator="containsText" text="Behind"/>
    <x:cfRule type="containsText" dxfId="39" priority="6" operator="containsText" text="Not Started"/>
    <x:cfRule type="containsText" dxfId="40" priority="7" operator="containsText" text="Upcoming"/>
    <x:cfRule type="containsText" dxfId="41" priority="8" operator="containsText" text="Partial"/>
  </x:conditionalFormatting>
  <x:conditionalFormatting sqref="F5:F12">
    <x:cfRule type="dataBar" priority="9">
      <x:dataBar>
        <x:cfvo type="min"/>
        <x:cfvo type="max"/>
        <x:color rgb="FF16A34A"/>
      </x:dataBar>
      <x:extLst>
        <x:ext xmlns:x14="http://schemas.microsoft.com/office/spreadsheetml/2009/9/main" uri="{B025F937-C7B1-47D3-B67F-A62EFF666E3E}">
          <x14:id>{7E70F304-139B-506A-F031-B7523715D4C3}</x14:id>
        </x:ext>
      </x:extLst>
    </x:cfRule>
  </x:conditionalFormatting>
  <x:dataValidations count="1">
    <x:dataValidation type="list" sqref="E5:E12">
      <x:formula1>"Not Started,In Progress,Blocked,Completed"</x:formula1>
    </x:dataValidation>
  </x:dataValidations>
  <x:pageMargins left="0.7" right="0.7" top="0.75" bottom="0.75" header="0.3" footer="0.3"/>
  <x:tableParts count="1">
    <x:tablePart xmlns:r="http://schemas.openxmlformats.org/officeDocument/2006/relationships" r:id="R7ee8796900614f6a"/>
  </x:tableParts>
  <x:extLst>
    <x:ext xmlns:x14="http://schemas.microsoft.com/office/spreadsheetml/2009/9/main" xmlns:xm="http://schemas.microsoft.com/office/excel/2006/main" uri="{78C0D931-6437-407d-A8EE-F0AAD7539E65}">
      <x14:conditionalFormattings>
        <x14:conditionalFormatting>
          <x14:cfRule type="dataBar" priority="9" id="{7E70F304-139B-506A-F031-B7523715D4C3}">
            <x14:dataBar gradient="1">
              <x14:cfvo type="min"/>
              <x14:cfvo type="max"/>
              <x14:fillColor rgb="FF16A34A"/>
            </x14:dataBar>
          </x14:cfRule>
          <xm:sqref>F5:F12</xm:sqref>
        </x14:conditionalFormatting>
      </x14:conditionalFormattings>
    </x:ext>
  </x:extLst>
</x:worksheet>
</file>

<file path=xl/worksheets/sheet6.xml><?xml version="1.0" encoding="utf-8"?>
<x:worksheet xmlns:x="http://schemas.openxmlformats.org/spreadsheetml/2006/main">
  <x:sheetViews>
    <x:sheetView showGridLines="0" workbookViewId="0"/>
  </x:sheetViews>
  <x:sheetFormatPr defaultRowHeight="15"/>
  <x:cols>
    <x:col min="1" max="1" width="18" hidden="0" customWidth="1"/>
    <x:col min="2" max="2" width="35" hidden="0" customWidth="1"/>
    <x:col min="3" max="3" width="12" hidden="0" customWidth="1"/>
    <x:col min="4" max="4" width="63" hidden="0" customWidth="1"/>
    <x:col min="5" max="5" width="14" hidden="0" customWidth="1"/>
    <x:col min="6" max="6" width="13" hidden="0" customWidth="1"/>
    <x:col min="7" max="7" width="34" hidden="0" customWidth="1"/>
    <x:col min="8" max="8" width="34" hidden="0" customWidth="1"/>
  </x:cols>
  <x:sheetData>
    <x:row r="1" ht="30" customHeight="1">
      <x:c r="A1" s="359" t="str">
        <x:v>Capstone Feature Checklist</x:v>
      </x:c>
      <x:c r="B1" s="359" t="str">
        <x:v>Capstone Feature Checklist</x:v>
      </x:c>
      <x:c r="C1" s="359" t="str">
        <x:v>Capstone Feature Checklist</x:v>
      </x:c>
      <x:c r="D1" s="359" t="str">
        <x:v>Capstone Feature Checklist</x:v>
      </x:c>
      <x:c r="E1" s="359" t="str">
        <x:v>Capstone Feature Checklist</x:v>
      </x:c>
      <x:c r="F1" s="359" t="str">
        <x:v>Capstone Feature Checklist</x:v>
      </x:c>
      <x:c r="G1" s="359" t="str">
        <x:v>Capstone Feature Checklist</x:v>
      </x:c>
      <x:c r="H1" s="359" t="str">
        <x:v>Capstone Feature Checklist</x:v>
      </x:c>
    </x:row>
    <x:row r="2" ht="30" customHeight="1">
      <x:c r="A2" s="359" t="str">
        <x:v>Capstone Feature Checklist</x:v>
      </x:c>
      <x:c r="B2" s="359" t="str">
        <x:v>Capstone Feature Checklist</x:v>
      </x:c>
      <x:c r="C2" s="359" t="str">
        <x:v>Capstone Feature Checklist</x:v>
      </x:c>
      <x:c r="D2" s="359" t="str">
        <x:v>Capstone Feature Checklist</x:v>
      </x:c>
      <x:c r="E2" s="359" t="str">
        <x:v>Capstone Feature Checklist</x:v>
      </x:c>
      <x:c r="F2" s="359" t="str">
        <x:v>Capstone Feature Checklist</x:v>
      </x:c>
      <x:c r="G2" s="359" t="str">
        <x:v>Capstone Feature Checklist</x:v>
      </x:c>
      <x:c r="H2" s="359" t="str">
        <x:v>Capstone Feature Checklist</x:v>
      </x:c>
    </x:row>
    <x:row r="3" ht="22" customHeight="1">
      <x:c r="A3" s="266" t="str">
        <x:v>This is the portfolio proof that converts roadmap knowledge into professional APEX and PL/SQL capability.</x:v>
      </x:c>
      <x:c r="B3" s="266" t="str">
        <x:v>This is the portfolio proof that converts roadmap knowledge into professional APEX and PL/SQL capability.</x:v>
      </x:c>
      <x:c r="C3" s="266" t="str">
        <x:v>This is the portfolio proof that converts roadmap knowledge into professional APEX and PL/SQL capability.</x:v>
      </x:c>
      <x:c r="D3" s="266" t="str">
        <x:v>This is the portfolio proof that converts roadmap knowledge into professional APEX and PL/SQL capability.</x:v>
      </x:c>
      <x:c r="E3" s="266" t="str">
        <x:v>This is the portfolio proof that converts roadmap knowledge into professional APEX and PL/SQL capability.</x:v>
      </x:c>
      <x:c r="F3" s="266" t="str">
        <x:v>This is the portfolio proof that converts roadmap knowledge into professional APEX and PL/SQL capability.</x:v>
      </x:c>
      <x:c r="G3" s="266" t="str">
        <x:v>This is the portfolio proof that converts roadmap knowledge into professional APEX and PL/SQL capability.</x:v>
      </x:c>
      <x:c r="H3" s="266" t="str">
        <x:v>This is the portfolio proof that converts roadmap knowledge into professional APEX and PL/SQL capability.</x:v>
      </x:c>
    </x:row>
    <x:row r="4">
      <x:c r="A4" s="360" t="str">
        <x:v>Category</x:v>
      </x:c>
      <x:c r="B4" s="361" t="str">
        <x:v>Feature</x:v>
      </x:c>
      <x:c r="C4" s="361" t="str">
        <x:v>Target Week</x:v>
      </x:c>
      <x:c r="D4" s="361" t="str">
        <x:v>Definition of Done</x:v>
      </x:c>
      <x:c r="E4" s="361" t="str">
        <x:v>Status</x:v>
      </x:c>
      <x:c r="F4" s="361" t="str">
        <x:v>Completion</x:v>
      </x:c>
      <x:c r="G4" s="361" t="str">
        <x:v>Evidence / Link</x:v>
      </x:c>
      <x:c r="H4" s="362" t="str">
        <x:v>Notes</x:v>
      </x:c>
    </x:row>
    <x:row r="5" ht="44" customHeight="1">
      <x:c r="A5" s="267" t="str">
        <x:v>Data Model</x:v>
      </x:c>
      <x:c r="B5" s="345" t="str">
        <x:v>Products, categories and suppliers</x:v>
      </x:c>
      <x:c r="C5" s="345" t="n">
        <x:v>24</x:v>
      </x:c>
      <x:c r="D5" s="345" t="str">
        <x:v>Normalized tables, constraints and working maintenance pages</x:v>
      </x:c>
      <x:c r="E5" s="345" t="str">
        <x:v>Not Started</x:v>
      </x:c>
      <x:c r="F5" s="351" t="n">
        <x:f>IF(E5="Completed",1,IF(E5="In Progress",0.5,IF(E5="Blocked",0.25,0)))</x:f>
        <x:v>0</x:v>
      </x:c>
      <x:c r="G5" s="345" t="str"/>
      <x:c r="H5" s="345" t="str"/>
    </x:row>
    <x:row r="6" ht="44" customHeight="1">
      <x:c r="A6" s="267" t="str">
        <x:v>Data Model</x:v>
      </x:c>
      <x:c r="B6" s="345" t="str">
        <x:v>Warehouses and stock movements</x:v>
      </x:c>
      <x:c r="C6" s="345" t="n">
        <x:v>24</x:v>
      </x:c>
      <x:c r="D6" s="345" t="str">
        <x:v>All stock changes are recorded as auditable movements</x:v>
      </x:c>
      <x:c r="E6" s="345" t="str">
        <x:v>Not Started</x:v>
      </x:c>
      <x:c r="F6" s="351" t="n">
        <x:f>IF(E6="Completed",1,IF(E6="In Progress",0.5,IF(E6="Blocked",0.25,0)))</x:f>
        <x:v>0</x:v>
      </x:c>
      <x:c r="G6" s="345" t="str"/>
      <x:c r="H6" s="345" t="str"/>
    </x:row>
    <x:row r="7" ht="44" customHeight="1">
      <x:c r="A7" s="267" t="str">
        <x:v>Orders</x:v>
      </x:c>
      <x:c r="B7" s="345" t="str">
        <x:v>Order header and lines</x:v>
      </x:c>
      <x:c r="C7" s="345" t="n">
        <x:v>24</x:v>
      </x:c>
      <x:c r="D7" s="345" t="str">
        <x:v>Master-detail flow calculates totals and validates line data</x:v>
      </x:c>
      <x:c r="E7" s="345" t="str">
        <x:v>Not Started</x:v>
      </x:c>
      <x:c r="F7" s="351" t="n">
        <x:f>IF(E7="Completed",1,IF(E7="In Progress",0.5,IF(E7="Blocked",0.25,0)))</x:f>
        <x:v>0</x:v>
      </x:c>
      <x:c r="G7" s="345" t="str"/>
      <x:c r="H7" s="345" t="str"/>
    </x:row>
    <x:row r="8" ht="44" customHeight="1">
      <x:c r="A8" s="267" t="str">
        <x:v>Orders</x:v>
      </x:c>
      <x:c r="B8" s="345" t="str">
        <x:v>Order status workflow</x:v>
      </x:c>
      <x:c r="C8" s="345" t="n">
        <x:v>24</x:v>
      </x:c>
      <x:c r="D8" s="345" t="str">
        <x:v>Only valid state transitions are permitted by the package API</x:v>
      </x:c>
      <x:c r="E8" s="345" t="str">
        <x:v>Not Started</x:v>
      </x:c>
      <x:c r="F8" s="351" t="n">
        <x:f>IF(E8="Completed",1,IF(E8="In Progress",0.5,IF(E8="Blocked",0.25,0)))</x:f>
        <x:v>0</x:v>
      </x:c>
      <x:c r="G8" s="345" t="str"/>
      <x:c r="H8" s="345" t="str"/>
    </x:row>
    <x:row r="9" ht="44" customHeight="1">
      <x:c r="A9" s="267" t="str">
        <x:v>Concurrency</x:v>
      </x:c>
      <x:c r="B9" s="345" t="str">
        <x:v>Stock reservation</x:v>
      </x:c>
      <x:c r="C9" s="345" t="n">
        <x:v>24</x:v>
      </x:c>
      <x:c r="D9" s="345" t="str">
        <x:v>Two sessions cannot reserve the same final quantity</x:v>
      </x:c>
      <x:c r="E9" s="345" t="str">
        <x:v>Not Started</x:v>
      </x:c>
      <x:c r="F9" s="351" t="n">
        <x:f>IF(E9="Completed",1,IF(E9="In Progress",0.5,IF(E9="Blocked",0.25,0)))</x:f>
        <x:v>0</x:v>
      </x:c>
      <x:c r="G9" s="345" t="str"/>
      <x:c r="H9" s="345" t="str"/>
    </x:row>
    <x:row r="10" ht="44" customHeight="1">
      <x:c r="A10" s="267" t="str">
        <x:v>Architecture</x:v>
      </x:c>
      <x:c r="B10" s="345" t="str">
        <x:v>Public package APIs</x:v>
      </x:c>
      <x:c r="C10" s="345" t="n">
        <x:v>24</x:v>
      </x:c>
      <x:c r="D10" s="345" t="str">
        <x:v>APEX pages call product_api, inventory_api and order_api</x:v>
      </x:c>
      <x:c r="E10" s="345" t="str">
        <x:v>Not Started</x:v>
      </x:c>
      <x:c r="F10" s="351" t="n">
        <x:f>IF(E10="Completed",1,IF(E10="In Progress",0.5,IF(E10="Blocked",0.25,0)))</x:f>
        <x:v>0</x:v>
      </x:c>
      <x:c r="G10" s="345" t="str"/>
      <x:c r="H10" s="345" t="str"/>
    </x:row>
    <x:row r="11" ht="44" customHeight="1">
      <x:c r="A11" s="267" t="str">
        <x:v>Errors</x:v>
      </x:c>
      <x:c r="B11" s="345" t="str">
        <x:v>Error and audit logging</x:v>
      </x:c>
      <x:c r="C11" s="345" t="n">
        <x:v>24</x:v>
      </x:c>
      <x:c r="D11" s="345" t="str">
        <x:v>Unexpected errors retain stack and backtrace; business errors are user-safe</x:v>
      </x:c>
      <x:c r="E11" s="345" t="str">
        <x:v>Not Started</x:v>
      </x:c>
      <x:c r="F11" s="351" t="n">
        <x:f>IF(E11="Completed",1,IF(E11="In Progress",0.5,IF(E11="Blocked",0.25,0)))</x:f>
        <x:v>0</x:v>
      </x:c>
      <x:c r="G11" s="345" t="str"/>
      <x:c r="H11" s="345" t="str"/>
    </x:row>
    <x:row r="12" ht="44" customHeight="1">
      <x:c r="A12" s="267" t="str">
        <x:v>Testing</x:v>
      </x:c>
      <x:c r="B12" s="345" t="str">
        <x:v>utPLSQL package tests</x:v>
      </x:c>
      <x:c r="C12" s="345" t="n">
        <x:v>24</x:v>
      </x:c>
      <x:c r="D12" s="345" t="str">
        <x:v>Core happy paths, boundaries and expected failures are automated</x:v>
      </x:c>
      <x:c r="E12" s="345" t="str">
        <x:v>Not Started</x:v>
      </x:c>
      <x:c r="F12" s="351" t="n">
        <x:f>IF(E12="Completed",1,IF(E12="In Progress",0.5,IF(E12="Blocked",0.25,0)))</x:f>
        <x:v>0</x:v>
      </x:c>
      <x:c r="G12" s="345" t="str"/>
      <x:c r="H12" s="345" t="str"/>
    </x:row>
    <x:row r="13" ht="44" customHeight="1">
      <x:c r="A13" s="267" t="str">
        <x:v>Security</x:v>
      </x:c>
      <x:c r="B13" s="345" t="str">
        <x:v>Authentication and authorization</x:v>
      </x:c>
      <x:c r="C13" s="345" t="n">
        <x:v>25</x:v>
      </x:c>
      <x:c r="D13" s="345" t="str">
        <x:v>Admin, manager and user roles have verified permissions</x:v>
      </x:c>
      <x:c r="E13" s="345" t="str">
        <x:v>Not Started</x:v>
      </x:c>
      <x:c r="F13" s="351" t="n">
        <x:f>IF(E13="Completed",1,IF(E13="In Progress",0.5,IF(E13="Blocked",0.25,0)))</x:f>
        <x:v>0</x:v>
      </x:c>
      <x:c r="G13" s="345" t="str"/>
      <x:c r="H13" s="345" t="str"/>
    </x:row>
    <x:row r="14" ht="44" customHeight="1">
      <x:c r="A14" s="267" t="str">
        <x:v>Security</x:v>
      </x:c>
      <x:c r="B14" s="345" t="str">
        <x:v>Session state and output security</x:v>
      </x:c>
      <x:c r="C14" s="345" t="n">
        <x:v>25</x:v>
      </x:c>
      <x:c r="D14" s="345" t="str">
        <x:v>Sensitive items use protection and dynamic output is escaped</x:v>
      </x:c>
      <x:c r="E14" s="345" t="str">
        <x:v>Not Started</x:v>
      </x:c>
      <x:c r="F14" s="351" t="n">
        <x:f>IF(E14="Completed",1,IF(E14="In Progress",0.5,IF(E14="Blocked",0.25,0)))</x:f>
        <x:v>0</x:v>
      </x:c>
      <x:c r="G14" s="345" t="str"/>
      <x:c r="H14" s="345" t="str"/>
    </x:row>
    <x:row r="15" ht="44" customHeight="1">
      <x:c r="A15" s="267" t="str">
        <x:v>Reporting</x:v>
      </x:c>
      <x:c r="B15" s="345" t="str">
        <x:v>Operational dashboard</x:v>
      </x:c>
      <x:c r="C15" s="345" t="n">
        <x:v>25</x:v>
      </x:c>
      <x:c r="D15" s="345" t="str">
        <x:v>Shows sales, inventory, low stock and order-status KPIs</x:v>
      </x:c>
      <x:c r="E15" s="345" t="str">
        <x:v>Not Started</x:v>
      </x:c>
      <x:c r="F15" s="351" t="n">
        <x:f>IF(E15="Completed",1,IF(E15="In Progress",0.5,IF(E15="Blocked",0.25,0)))</x:f>
        <x:v>0</x:v>
      </x:c>
      <x:c r="G15" s="345" t="str"/>
      <x:c r="H15" s="345" t="str"/>
    </x:row>
    <x:row r="16" ht="44" customHeight="1">
      <x:c r="A16" s="267" t="str">
        <x:v>Reporting</x:v>
      </x:c>
      <x:c r="B16" s="345" t="str">
        <x:v>Analytic SQL reports</x:v>
      </x:c>
      <x:c r="C16" s="345" t="n">
        <x:v>25</x:v>
      </x:c>
      <x:c r="D16" s="345" t="str">
        <x:v>Includes ranking, running totals and period comparison</x:v>
      </x:c>
      <x:c r="E16" s="345" t="str">
        <x:v>Not Started</x:v>
      </x:c>
      <x:c r="F16" s="351" t="n">
        <x:f>IF(E16="Completed",1,IF(E16="In Progress",0.5,IF(E16="Blocked",0.25,0)))</x:f>
        <x:v>0</x:v>
      </x:c>
      <x:c r="G16" s="345" t="str"/>
      <x:c r="H16" s="345" t="str"/>
    </x:row>
    <x:row r="17" ht="44" customHeight="1">
      <x:c r="A17" s="267" t="str">
        <x:v>Integration</x:v>
      </x:c>
      <x:c r="B17" s="345" t="str">
        <x:v>Bulk CSV import</x:v>
      </x:c>
      <x:c r="C17" s="345" t="n">
        <x:v>25</x:v>
      </x:c>
      <x:c r="D17" s="345" t="str">
        <x:v>Rows are validated and failures are reported without corrupting good data</x:v>
      </x:c>
      <x:c r="E17" s="345" t="str">
        <x:v>Not Started</x:v>
      </x:c>
      <x:c r="F17" s="351" t="n">
        <x:f>IF(E17="Completed",1,IF(E17="In Progress",0.5,IF(E17="Blocked",0.25,0)))</x:f>
        <x:v>0</x:v>
      </x:c>
      <x:c r="G17" s="345" t="str"/>
      <x:c r="H17" s="345" t="str"/>
    </x:row>
    <x:row r="18" ht="44" customHeight="1">
      <x:c r="A18" s="267" t="str">
        <x:v>Integration</x:v>
      </x:c>
      <x:c r="B18" s="345" t="str">
        <x:v>Secure file attachments</x:v>
      </x:c>
      <x:c r="C18" s="345" t="n">
        <x:v>25</x:v>
      </x:c>
      <x:c r="D18" s="345" t="str">
        <x:v>Authorized upload, storage and retrieval are implemented</x:v>
      </x:c>
      <x:c r="E18" s="345" t="str">
        <x:v>Not Started</x:v>
      </x:c>
      <x:c r="F18" s="351" t="n">
        <x:f>IF(E18="Completed",1,IF(E18="In Progress",0.5,IF(E18="Blocked",0.25,0)))</x:f>
        <x:v>0</x:v>
      </x:c>
      <x:c r="G18" s="345" t="str"/>
      <x:c r="H18" s="345" t="str"/>
    </x:row>
    <x:row r="19" ht="44" customHeight="1">
      <x:c r="A19" s="267" t="str">
        <x:v>Automation</x:v>
      </x:c>
      <x:c r="B19" s="345" t="str">
        <x:v>Low-stock scheduled job</x:v>
      </x:c>
      <x:c r="C19" s="345" t="n">
        <x:v>25</x:v>
      </x:c>
      <x:c r="D19" s="345" t="str">
        <x:v>Job is observable, retry-safe and produces a notification</x:v>
      </x:c>
      <x:c r="E19" s="345" t="str">
        <x:v>Not Started</x:v>
      </x:c>
      <x:c r="F19" s="351" t="n">
        <x:f>IF(E19="Completed",1,IF(E19="In Progress",0.5,IF(E19="Blocked",0.25,0)))</x:f>
        <x:v>0</x:v>
      </x:c>
      <x:c r="G19" s="345" t="str"/>
      <x:c r="H19" s="345" t="str"/>
    </x:row>
    <x:row r="20" ht="44" customHeight="1">
      <x:c r="A20" s="267" t="str">
        <x:v>Integration</x:v>
      </x:c>
      <x:c r="B20" s="345" t="str">
        <x:v>REST or external web service</x:v>
      </x:c>
      <x:c r="C20" s="345" t="n">
        <x:v>25</x:v>
      </x:c>
      <x:c r="D20" s="345" t="str">
        <x:v>One documented integration has controlled error handling</x:v>
      </x:c>
      <x:c r="E20" s="345" t="str">
        <x:v>Not Started</x:v>
      </x:c>
      <x:c r="F20" s="351" t="n">
        <x:f>IF(E20="Completed",1,IF(E20="In Progress",0.5,IF(E20="Blocked",0.25,0)))</x:f>
        <x:v>0</x:v>
      </x:c>
      <x:c r="G20" s="345" t="str"/>
      <x:c r="H20" s="345" t="str"/>
    </x:row>
    <x:row r="21" ht="44" customHeight="1">
      <x:c r="A21" s="267" t="str">
        <x:v>Performance</x:v>
      </x:c>
      <x:c r="B21" s="345" t="str">
        <x:v>Measured tuning evidence</x:v>
      </x:c>
      <x:c r="C21" s="345" t="n">
        <x:v>26</x:v>
      </x:c>
      <x:c r="D21" s="345" t="str">
        <x:v>Before-and-after plan or timing demonstrates an improvement</x:v>
      </x:c>
      <x:c r="E21" s="345" t="str">
        <x:v>Not Started</x:v>
      </x:c>
      <x:c r="F21" s="351" t="n">
        <x:f>IF(E21="Completed",1,IF(E21="In Progress",0.5,IF(E21="Blocked",0.25,0)))</x:f>
        <x:v>0</x:v>
      </x:c>
      <x:c r="G21" s="345" t="str"/>
      <x:c r="H21" s="345" t="str"/>
    </x:row>
    <x:row r="22" ht="44" customHeight="1">
      <x:c r="A22" s="267" t="str">
        <x:v>Quality</x:v>
      </x:c>
      <x:c r="B22" s="345" t="str">
        <x:v>APEX Advisor and debug review</x:v>
      </x:c>
      <x:c r="C22" s="345" t="n">
        <x:v>26</x:v>
      </x:c>
      <x:c r="D22" s="345" t="str">
        <x:v>Material security, quality and performance findings are resolved</x:v>
      </x:c>
      <x:c r="E22" s="345" t="str">
        <x:v>Not Started</x:v>
      </x:c>
      <x:c r="F22" s="351" t="n">
        <x:f>IF(E22="Completed",1,IF(E22="In Progress",0.5,IF(E22="Blocked",0.25,0)))</x:f>
        <x:v>0</x:v>
      </x:c>
      <x:c r="G22" s="345" t="str"/>
      <x:c r="H22" s="345" t="str"/>
    </x:row>
    <x:row r="23" ht="44" customHeight="1">
      <x:c r="A23" s="267" t="str">
        <x:v>Deployment</x:v>
      </x:c>
      <x:c r="B23" s="345" t="str">
        <x:v>Clean environment installation</x:v>
      </x:c>
      <x:c r="C23" s="345" t="n">
        <x:v>26</x:v>
      </x:c>
      <x:c r="D23" s="345" t="str">
        <x:v>Schema and APEX application install from versioned source</x:v>
      </x:c>
      <x:c r="E23" s="345" t="str">
        <x:v>Not Started</x:v>
      </x:c>
      <x:c r="F23" s="351" t="n">
        <x:f>IF(E23="Completed",1,IF(E23="In Progress",0.5,IF(E23="Blocked",0.25,0)))</x:f>
        <x:v>0</x:v>
      </x:c>
      <x:c r="G23" s="345" t="str"/>
      <x:c r="H23" s="345" t="str"/>
    </x:row>
    <x:row r="24" ht="44" customHeight="1">
      <x:c r="A24" s="267" t="str">
        <x:v>Portfolio</x:v>
      </x:c>
      <x:c r="B24" s="345" t="str">
        <x:v>README, ERD, screenshots and demo</x:v>
      </x:c>
      <x:c r="C24" s="345" t="n">
        <x:v>26</x:v>
      </x:c>
      <x:c r="D24" s="345" t="str">
        <x:v>A reviewer can understand, install and evaluate the application</x:v>
      </x:c>
      <x:c r="E24" s="345" t="str">
        <x:v>Not Started</x:v>
      </x:c>
      <x:c r="F24" s="351" t="n">
        <x:f>IF(E24="Completed",1,IF(E24="In Progress",0.5,IF(E24="Blocked",0.25,0)))</x:f>
        <x:v>0</x:v>
      </x:c>
      <x:c r="G24" s="345" t="str"/>
      <x:c r="H24" s="345" t="str"/>
    </x:row>
  </x:sheetData>
  <x:mergeCells>
    <x:mergeCell ref="A1:H2"/>
    <x:mergeCell ref="A3:H3"/>
  </x:mergeCells>
  <x:conditionalFormatting sqref="E5:E24">
    <x:cfRule type="containsText" dxfId="42" priority="1" operator="containsText" text="Completed"/>
    <x:cfRule type="containsText" dxfId="43" priority="2" operator="containsText" text="In Progress"/>
    <x:cfRule type="containsText" dxfId="44" priority="3" operator="containsText" text="Active"/>
    <x:cfRule type="containsText" dxfId="45" priority="4" operator="containsText" text="Blocked"/>
    <x:cfRule type="containsText" dxfId="46" priority="5" operator="containsText" text="Behind"/>
    <x:cfRule type="containsText" dxfId="47" priority="6" operator="containsText" text="Not Started"/>
    <x:cfRule type="containsText" dxfId="48" priority="7" operator="containsText" text="Upcoming"/>
    <x:cfRule type="containsText" dxfId="49" priority="8" operator="containsText" text="Partial"/>
  </x:conditionalFormatting>
  <x:conditionalFormatting sqref="F5:F24">
    <x:cfRule type="dataBar" priority="9">
      <x:dataBar>
        <x:cfvo type="min"/>
        <x:cfvo type="max"/>
        <x:color rgb="FF16A34A"/>
      </x:dataBar>
      <x:extLst>
        <x:ext xmlns:x14="http://schemas.microsoft.com/office/spreadsheetml/2009/9/main" uri="{B025F937-C7B1-47D3-B67F-A62EFF666E3E}">
          <x14:id>{2DFD8F1B-7333-1493-D4D0-0F1317C2837B}</x14:id>
        </x:ext>
      </x:extLst>
    </x:cfRule>
  </x:conditionalFormatting>
  <x:dataValidations count="1">
    <x:dataValidation type="list" sqref="E5:E24">
      <x:formula1>"Not Started,In Progress,Blocked,Completed"</x:formula1>
    </x:dataValidation>
  </x:dataValidations>
  <x:pageMargins left="0.7" right="0.7" top="0.75" bottom="0.75" header="0.3" footer="0.3"/>
  <x:tableParts count="1">
    <x:tablePart xmlns:r="http://schemas.openxmlformats.org/officeDocument/2006/relationships" r:id="Rdf472b715fa64c5e"/>
  </x:tableParts>
  <x:extLst>
    <x:ext xmlns:x14="http://schemas.microsoft.com/office/spreadsheetml/2009/9/main" xmlns:xm="http://schemas.microsoft.com/office/excel/2006/main" uri="{78C0D931-6437-407d-A8EE-F0AAD7539E65}">
      <x14:conditionalFormattings>
        <x14:conditionalFormatting>
          <x14:cfRule type="dataBar" priority="9" id="{2DFD8F1B-7333-1493-D4D0-0F1317C2837B}">
            <x14:dataBar gradient="1">
              <x14:cfvo type="min"/>
              <x14:cfvo type="max"/>
              <x14:fillColor rgb="FF16A34A"/>
            </x14:dataBar>
          </x14:cfRule>
          <xm:sqref>F5:F24</xm:sqref>
        </x14:conditionalFormatting>
      </x14:conditionalFormattings>
    </x:ext>
  </x:extLst>
</x:worksheet>
</file>

<file path=xl/worksheets/sheet7.xml><?xml version="1.0" encoding="utf-8"?>
<x:worksheet xmlns:x="http://schemas.openxmlformats.org/spreadsheetml/2006/main">
  <x:sheetViews>
    <x:sheetView showGridLines="0" workbookViewId="0"/>
  </x:sheetViews>
  <x:sheetFormatPr defaultRowHeight="15"/>
  <x:cols>
    <x:col min="1" max="1" width="29" hidden="0" customWidth="1"/>
    <x:col min="2" max="2" width="57" hidden="0" customWidth="1"/>
    <x:col min="3" max="3" width="45" hidden="0" customWidth="1"/>
    <x:col min="4" max="4" width="3" hidden="0" customWidth="1"/>
    <x:col min="5" max="5" width="3" hidden="0" customWidth="1"/>
    <x:col min="6" max="6" width="3" hidden="0" customWidth="1"/>
  </x:cols>
  <x:sheetData>
    <x:row r="1" ht="30" customHeight="1">
      <x:c r="A1" s="359" t="str">
        <x:v>PL/SQL Roadmap Tracker — Setup</x:v>
      </x:c>
      <x:c r="B1" s="359" t="str">
        <x:v>PL/SQL Roadmap Tracker — Setup</x:v>
      </x:c>
      <x:c r="C1" s="359" t="str">
        <x:v>PL/SQL Roadmap Tracker — Setup</x:v>
      </x:c>
      <x:c r="D1" s="359" t="str">
        <x:v>PL/SQL Roadmap Tracker — Setup</x:v>
      </x:c>
      <x:c r="E1" s="359" t="str">
        <x:v>PL/SQL Roadmap Tracker — Setup</x:v>
      </x:c>
      <x:c r="F1" s="359" t="str">
        <x:v>PL/SQL Roadmap Tracker — Setup</x:v>
      </x:c>
    </x:row>
    <x:row r="2" ht="30" customHeight="1">
      <x:c r="A2" s="359" t="str">
        <x:v>PL/SQL Roadmap Tracker — Setup</x:v>
      </x:c>
      <x:c r="B2" s="359" t="str">
        <x:v>PL/SQL Roadmap Tracker — Setup</x:v>
      </x:c>
      <x:c r="C2" s="359" t="str">
        <x:v>PL/SQL Roadmap Tracker — Setup</x:v>
      </x:c>
      <x:c r="D2" s="359" t="str">
        <x:v>PL/SQL Roadmap Tracker — Setup</x:v>
      </x:c>
      <x:c r="E2" s="359" t="str">
        <x:v>PL/SQL Roadmap Tracker — Setup</x:v>
      </x:c>
      <x:c r="F2" s="359" t="str">
        <x:v>PL/SQL Roadmap Tracker — Setup</x:v>
      </x:c>
    </x:row>
    <x:row r="3" ht="22" customHeight="1">
      <x:c r="A3" s="266" t="str">
        <x:v>Edit the blue input cells. All dates, targets and dashboard metrics update automatically.</x:v>
      </x:c>
      <x:c r="B3" s="266" t="str">
        <x:v>Edit the blue input cells. All dates, targets and dashboard metrics update automatically.</x:v>
      </x:c>
      <x:c r="C3" s="266" t="str">
        <x:v>Edit the blue input cells. All dates, targets and dashboard metrics update automatically.</x:v>
      </x:c>
      <x:c r="D3" s="266" t="str">
        <x:v>Edit the blue input cells. All dates, targets and dashboard metrics update automatically.</x:v>
      </x:c>
      <x:c r="E3" s="266" t="str">
        <x:v>Edit the blue input cells. All dates, targets and dashboard metrics update automatically.</x:v>
      </x:c>
      <x:c r="F3" s="266" t="str">
        <x:v>Edit the blue input cells. All dates, targets and dashboard metrics update automatically.</x:v>
      </x:c>
    </x:row>
    <x:row r="4">
      <x:c r="A4" s="352"/>
      <x:c r="B4" s="352"/>
      <x:c r="C4" s="352"/>
      <x:c r="D4" s="352"/>
      <x:c r="E4" s="352"/>
      <x:c r="F4" s="352"/>
    </x:row>
    <x:row r="5">
      <x:c r="A5" s="327" t="str">
        <x:v>Setting</x:v>
      </x:c>
      <x:c r="B5" s="328" t="str">
        <x:v>Value</x:v>
      </x:c>
      <x:c r="C5" s="329" t="str">
        <x:v>How it is used</x:v>
      </x:c>
      <x:c r="D5" s="352"/>
      <x:c r="E5" s="352"/>
      <x:c r="F5" s="352"/>
    </x:row>
    <x:row r="6">
      <x:c r="A6" s="353" t="str">
        <x:v>Roadmap start date</x:v>
      </x:c>
      <x:c r="B6" s="354" t="n">
        <x:v>46223</x:v>
      </x:c>
      <x:c r="C6" s="353" t="str">
        <x:v>Week 1 begins on this date</x:v>
      </x:c>
      <x:c r="D6" s="352"/>
      <x:c r="E6" s="352"/>
      <x:c r="F6" s="352"/>
    </x:row>
    <x:row r="7">
      <x:c r="A7" s="353" t="str">
        <x:v>Target hours per week</x:v>
      </x:c>
      <x:c r="B7" s="355" t="n">
        <x:v>8</x:v>
      </x:c>
      <x:c r="C7" s="353" t="str">
        <x:v>Copied into the weekly plan</x:v>
      </x:c>
      <x:c r="D7" s="352"/>
      <x:c r="E7" s="352"/>
      <x:c r="F7" s="352"/>
    </x:row>
    <x:row r="8">
      <x:c r="A8" s="356" t="str">
        <x:v>Roadmap length (weeks)</x:v>
      </x:c>
      <x:c r="B8" s="357" t="n">
        <x:v>26</x:v>
      </x:c>
      <x:c r="C8" s="356" t="str">
        <x:v>Used by current-week calculations</x:v>
      </x:c>
      <x:c r="D8" s="352"/>
      <x:c r="E8" s="352"/>
      <x:c r="F8" s="352"/>
    </x:row>
    <x:row r="9">
      <x:c r="A9" s="353"/>
      <x:c r="B9" s="353"/>
      <x:c r="C9" s="353"/>
      <x:c r="D9" s="352"/>
      <x:c r="E9" s="352"/>
      <x:c r="F9" s="352"/>
    </x:row>
    <x:row r="10">
      <x:c r="A10" s="327" t="str">
        <x:v>Status</x:v>
      </x:c>
      <x:c r="B10" s="328" t="str">
        <x:v>Progress weight</x:v>
      </x:c>
      <x:c r="C10" s="329" t="str">
        <x:v>Meaning</x:v>
      </x:c>
      <x:c r="D10" s="352"/>
      <x:c r="E10" s="352"/>
      <x:c r="F10" s="352"/>
    </x:row>
    <x:row r="11">
      <x:c r="A11" s="353" t="str">
        <x:v>Not Started</x:v>
      </x:c>
      <x:c r="B11" s="358" t="n">
        <x:v>0</x:v>
      </x:c>
      <x:c r="C11" s="353" t="str">
        <x:v>No meaningful work recorded</x:v>
      </x:c>
      <x:c r="D11" s="352"/>
      <x:c r="E11" s="352"/>
      <x:c r="F11" s="352"/>
    </x:row>
    <x:row r="12">
      <x:c r="A12" s="353" t="str">
        <x:v>In Progress</x:v>
      </x:c>
      <x:c r="B12" s="358" t="n">
        <x:v>0.5</x:v>
      </x:c>
      <x:c r="C12" s="353" t="str">
        <x:v>Learning or practice has started</x:v>
      </x:c>
      <x:c r="D12" s="352"/>
      <x:c r="E12" s="352"/>
      <x:c r="F12" s="352"/>
    </x:row>
    <x:row r="13">
      <x:c r="A13" s="353" t="str">
        <x:v>Blocked</x:v>
      </x:c>
      <x:c r="B13" s="358" t="n">
        <x:v>0.25</x:v>
      </x:c>
      <x:c r="C13" s="353" t="str">
        <x:v>Started but a blocker needs attention</x:v>
      </x:c>
      <x:c r="D13" s="352"/>
      <x:c r="E13" s="352"/>
      <x:c r="F13" s="352"/>
    </x:row>
    <x:row r="14">
      <x:c r="A14" s="353" t="str">
        <x:v>Completed</x:v>
      </x:c>
      <x:c r="B14" s="358" t="n">
        <x:v>1</x:v>
      </x:c>
      <x:c r="C14" s="353" t="str">
        <x:v>Exit evidence is available</x:v>
      </x:c>
      <x:c r="D14" s="352"/>
      <x:c r="E14" s="352"/>
      <x:c r="F14" s="352"/>
    </x:row>
    <x:row r="15">
      <x:c r="A15" s="353"/>
      <x:c r="B15" s="353"/>
      <x:c r="C15" s="353"/>
      <x:c r="D15" s="352"/>
      <x:c r="E15" s="352"/>
      <x:c r="F15" s="352"/>
    </x:row>
    <x:row r="16">
      <x:c r="A16" s="327" t="str">
        <x:v>Official resource</x:v>
      </x:c>
      <x:c r="B16" s="328" t="str">
        <x:v>URL</x:v>
      </x:c>
      <x:c r="C16" s="329" t="str">
        <x:v>Use</x:v>
      </x:c>
      <x:c r="D16" s="352"/>
      <x:c r="E16" s="352"/>
      <x:c r="F16" s="352"/>
    </x:row>
    <x:row r="17">
      <x:c r="A17" s="353" t="str">
        <x:v>PL/SQL Language Reference 26ai</x:v>
      </x:c>
      <x:c r="B17" s="353" t="str">
        <x:v>https://docs.oracle.com/en/database/oracle/oracle-database/26/lnpls/</x:v>
      </x:c>
      <x:c r="C17" s="353" t="str">
        <x:v>Primary language reference</x:v>
      </x:c>
      <x:c r="D17" s="352"/>
      <x:c r="E17" s="352"/>
      <x:c r="F17" s="352"/>
    </x:row>
    <x:row r="18">
      <x:c r="A18" s="353" t="str">
        <x:v>SQL Language Reference 26ai</x:v>
      </x:c>
      <x:c r="B18" s="353" t="str">
        <x:v>https://docs.oracle.com/en/database/oracle/oracle-database/26/sqlrf/</x:v>
      </x:c>
      <x:c r="C18" s="353" t="str">
        <x:v>Oracle SQL syntax and behavior</x:v>
      </x:c>
      <x:c r="D18" s="352"/>
      <x:c r="E18" s="352"/>
      <x:c r="F18" s="352"/>
    </x:row>
    <x:row r="19">
      <x:c r="A19" s="353" t="str">
        <x:v>APEX App Builder Guide 26.1</x:v>
      </x:c>
      <x:c r="B19" s="353" t="str">
        <x:v>https://docs.oracle.com/en/database/oracle/apex/26.1/htmdb/</x:v>
      </x:c>
      <x:c r="C19" s="353" t="str">
        <x:v>APEX lifecycle, session state and security</x:v>
      </x:c>
      <x:c r="D19" s="352"/>
      <x:c r="E19" s="352"/>
      <x:c r="F19" s="352"/>
    </x:row>
    <x:row r="20">
      <x:c r="A20" s="353" t="str">
        <x:v>APEX API Reference 26.1</x:v>
      </x:c>
      <x:c r="B20" s="353" t="str">
        <x:v>https://docs.oracle.com/en/database/oracle/apex/26.1/aeapi/</x:v>
      </x:c>
      <x:c r="C20" s="353" t="str">
        <x:v>APEX PL/SQL APIs</x:v>
      </x:c>
      <x:c r="D20" s="352"/>
      <x:c r="E20" s="352"/>
      <x:c r="F20" s="352"/>
    </x:row>
    <x:row r="21">
      <x:c r="A21" s="353" t="str">
        <x:v>Oracle FreeSQL</x:v>
      </x:c>
      <x:c r="B21" s="353" t="str">
        <x:v>https://www.oracle.com/database/technologies/oracle-free-sql/</x:v>
      </x:c>
      <x:c r="C21" s="353" t="str">
        <x:v>Browser-based Oracle practice</x:v>
      </x:c>
      <x:c r="D21" s="352"/>
      <x:c r="E21" s="352"/>
      <x:c r="F21" s="352"/>
    </x:row>
    <x:row r="22">
      <x:c r="A22" s="356" t="str">
        <x:v>utPLSQL</x:v>
      </x:c>
      <x:c r="B22" s="356" t="str">
        <x:v>https://www.utplsql.org/utPLSQL/latest/</x:v>
      </x:c>
      <x:c r="C22" s="356" t="str">
        <x:v>Automated PL/SQL testing</x:v>
      </x:c>
      <x:c r="D22" s="352"/>
      <x:c r="E22" s="352"/>
      <x:c r="F22" s="352"/>
    </x:row>
  </x:sheetData>
  <x:mergeCells>
    <x:mergeCell ref="A1:F2"/>
    <x:mergeCell ref="A3:F3"/>
  </x:mergeCells>
  <x:conditionalFormatting sqref="A11:A14">
    <x:cfRule type="containsText" dxfId="0" priority="1" operator="containsText" text="Completed"/>
    <x:cfRule type="containsText" dxfId="1" priority="2" operator="containsText" text="In Progress"/>
    <x:cfRule type="containsText" dxfId="2" priority="3" operator="containsText" text="Active"/>
    <x:cfRule type="containsText" dxfId="3" priority="4" operator="containsText" text="Blocked"/>
    <x:cfRule type="containsText" dxfId="4" priority="5" operator="containsText" text="Behind"/>
    <x:cfRule type="containsText" dxfId="5" priority="6" operator="containsText" text="Not Started"/>
    <x:cfRule type="containsText" dxfId="6" priority="7" operator="containsText" text="Upcoming"/>
    <x:cfRule type="containsText" dxfId="7" priority="8" operator="containsText" text="Partial"/>
  </x:conditionalFormatting>
  <x:pageMargins left="0.7" right="0.7" top="0.75" bottom="0.75" header="0.3" footer="0.3"/>
</x:worksheet>
</file>